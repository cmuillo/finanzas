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ustomProperty2.bin" ContentType="application/vnd.openxmlformats-officedocument.spreadsheetml.customProperty"/>
  <Override PartName="/xl/tables/table3.xml" ContentType="application/vnd.openxmlformats-officedocument.spreadsheetml.table+xml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freshdelmonte-my.sharepoint.com/personal/cmurillo_freshdelmonte_com/Documents/ANALISTA/FINANZAS/Dashboards/1. LT vs LT Export Actuals/"/>
    </mc:Choice>
  </mc:AlternateContent>
  <xr:revisionPtr revIDLastSave="51" documentId="8_{82E3EAB9-3A6E-487E-92BA-0748F802403F}" xr6:coauthVersionLast="47" xr6:coauthVersionMax="47" xr10:uidLastSave="{930B4F6C-473A-4D72-974F-D46726A9567D}"/>
  <bookViews>
    <workbookView xWindow="-120" yWindow="-120" windowWidth="29040" windowHeight="15720" tabRatio="613" activeTab="1" xr2:uid="{00000000-000D-0000-FFFF-FFFF00000000}"/>
  </bookViews>
  <sheets>
    <sheet name="Folder Location and Alerts" sheetId="25" r:id="rId1"/>
    <sheet name="EcuadorMENASplit" sheetId="9" r:id="rId2"/>
    <sheet name="New Mapping" sheetId="8" r:id="rId3"/>
    <sheet name="Whats in Accounts" sheetId="57" r:id="rId4"/>
    <sheet name="Instructions" sheetId="1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5" l="1" a="1"/>
  <c r="E6" i="25" s="1"/>
  <c r="F7" i="25" s="1"/>
  <c r="F11" i="25"/>
  <c r="N15" i="9" l="1"/>
  <c r="L15" i="9" l="1"/>
  <c r="J15" i="9" l="1"/>
  <c r="I15" i="9" l="1"/>
  <c r="I10" i="9" l="1"/>
  <c r="W367" i="8" l="1"/>
  <c r="F40" i="9" l="1"/>
  <c r="G40" i="9" s="1"/>
  <c r="H40" i="9" s="1"/>
  <c r="I40" i="9" s="1"/>
  <c r="J40" i="9" s="1"/>
  <c r="K40" i="9" s="1"/>
  <c r="L40" i="9" s="1"/>
  <c r="M40" i="9" s="1"/>
  <c r="N40" i="9" s="1"/>
  <c r="O40" i="9" s="1"/>
  <c r="P40" i="9" s="1"/>
  <c r="F29" i="9"/>
  <c r="G29" i="9"/>
  <c r="H29" i="9"/>
  <c r="I29" i="9"/>
  <c r="J29" i="9"/>
  <c r="K29" i="9"/>
  <c r="L29" i="9"/>
  <c r="M29" i="9"/>
  <c r="N29" i="9"/>
  <c r="O29" i="9"/>
  <c r="P29" i="9"/>
  <c r="F30" i="9"/>
  <c r="G30" i="9"/>
  <c r="H30" i="9"/>
  <c r="I30" i="9"/>
  <c r="J30" i="9"/>
  <c r="K30" i="9"/>
  <c r="L30" i="9"/>
  <c r="M30" i="9"/>
  <c r="M28" i="9" s="1"/>
  <c r="N30" i="9"/>
  <c r="O30" i="9"/>
  <c r="P30" i="9"/>
  <c r="P28" i="9" l="1"/>
  <c r="O28" i="9"/>
  <c r="N28" i="9"/>
  <c r="K28" i="9"/>
  <c r="J28" i="9"/>
  <c r="I28" i="9"/>
  <c r="H28" i="9"/>
  <c r="G28" i="9"/>
  <c r="F28" i="9"/>
  <c r="L28" i="9"/>
  <c r="N24" i="9" l="1"/>
  <c r="C20" i="25" l="1"/>
  <c r="C18" i="25"/>
  <c r="C19" i="25" l="1"/>
  <c r="C17" i="25"/>
  <c r="BC38" i="8"/>
  <c r="BC37" i="8"/>
  <c r="BC36" i="8"/>
  <c r="BC35" i="8"/>
  <c r="BC34" i="8"/>
  <c r="BC33" i="8"/>
  <c r="BC32" i="8"/>
  <c r="BC31" i="8"/>
  <c r="BC30" i="8"/>
  <c r="BC29" i="8"/>
  <c r="BC28" i="8"/>
  <c r="BC27" i="8"/>
  <c r="BC26" i="8"/>
  <c r="BC25" i="8"/>
  <c r="BC24" i="8"/>
  <c r="BC23" i="8"/>
  <c r="BC22" i="8"/>
  <c r="BC21" i="8"/>
  <c r="BC20" i="8"/>
  <c r="BC19" i="8"/>
  <c r="BC18" i="8"/>
  <c r="BC17" i="8"/>
  <c r="BC16" i="8"/>
  <c r="BC15" i="8"/>
  <c r="BC14" i="8"/>
  <c r="BC13" i="8"/>
  <c r="BC12" i="8"/>
  <c r="BN21" i="8" l="1"/>
  <c r="BL21" i="8"/>
  <c r="BM37" i="8"/>
  <c r="BL37" i="8"/>
  <c r="BM36" i="8"/>
  <c r="BL36" i="8"/>
  <c r="BM35" i="8"/>
  <c r="BL35" i="8"/>
  <c r="BM34" i="8"/>
  <c r="BL34" i="8"/>
  <c r="BM33" i="8"/>
  <c r="BL33" i="8"/>
  <c r="BM32" i="8"/>
  <c r="BL32" i="8"/>
  <c r="BM30" i="8"/>
  <c r="BL30" i="8"/>
  <c r="BM29" i="8"/>
  <c r="BL29" i="8"/>
  <c r="BM28" i="8"/>
  <c r="BL28" i="8"/>
  <c r="BM27" i="8"/>
  <c r="BL27" i="8"/>
  <c r="BM26" i="8"/>
  <c r="BL26" i="8"/>
  <c r="BM25" i="8"/>
  <c r="BL25" i="8"/>
  <c r="BM24" i="8"/>
  <c r="BL24" i="8"/>
  <c r="BM22" i="8"/>
  <c r="BL22" i="8"/>
  <c r="BM20" i="8"/>
  <c r="BL20" i="8"/>
  <c r="BM19" i="8"/>
  <c r="BL19" i="8"/>
  <c r="BM18" i="8"/>
  <c r="BL18" i="8"/>
  <c r="BM17" i="8"/>
  <c r="BL17" i="8"/>
  <c r="BM16" i="8"/>
  <c r="BL16" i="8"/>
  <c r="BM15" i="8"/>
  <c r="BL15" i="8"/>
  <c r="BM14" i="8"/>
  <c r="BL14" i="8"/>
  <c r="BM13" i="8"/>
  <c r="BL13" i="8"/>
  <c r="BM12" i="8"/>
  <c r="BL12" i="8"/>
  <c r="BM21" i="8"/>
  <c r="BL11" i="8"/>
  <c r="BN11" i="8"/>
  <c r="BM11" i="8"/>
  <c r="BE38" i="8"/>
  <c r="BH12" i="8"/>
  <c r="BH13" i="8" s="1"/>
  <c r="BH14" i="8" s="1"/>
  <c r="BH15" i="8" s="1"/>
  <c r="BH16" i="8" s="1"/>
  <c r="BH17" i="8" s="1"/>
  <c r="BH18" i="8" s="1"/>
  <c r="BH19" i="8" s="1"/>
  <c r="BH20" i="8" s="1"/>
  <c r="BH21" i="8" s="1"/>
  <c r="BH23" i="8" s="1"/>
  <c r="BH24" i="8" s="1"/>
  <c r="BH25" i="8" s="1"/>
  <c r="BH26" i="8" s="1"/>
  <c r="BH27" i="8" s="1"/>
  <c r="BH28" i="8" s="1"/>
  <c r="BH29" i="8" s="1"/>
  <c r="BH30" i="8" s="1"/>
  <c r="BH31" i="8" s="1"/>
  <c r="BH32" i="8" s="1"/>
  <c r="BH33" i="8" s="1"/>
  <c r="BH34" i="8" s="1"/>
  <c r="BH35" i="8" s="1"/>
  <c r="BH36" i="8" s="1"/>
  <c r="BH37" i="8" s="1"/>
  <c r="BH38" i="8" s="1"/>
  <c r="BM38" i="8" s="1"/>
  <c r="BG38" i="8"/>
  <c r="BF12" i="8"/>
  <c r="BF13" i="8" s="1"/>
  <c r="BM23" i="8" l="1"/>
  <c r="BM31" i="8"/>
  <c r="BH22" i="8"/>
  <c r="BF14" i="8"/>
  <c r="BI13" i="8"/>
  <c r="BI12" i="8"/>
  <c r="BJ12" i="8" s="1"/>
  <c r="BN12" i="8" l="1"/>
  <c r="BJ13" i="8"/>
  <c r="BN13" i="8" s="1"/>
  <c r="BF15" i="8"/>
  <c r="BI14" i="8"/>
  <c r="BJ14" i="8" s="1"/>
  <c r="E10" i="9"/>
  <c r="D65" i="9"/>
  <c r="C65" i="9"/>
  <c r="D61" i="9"/>
  <c r="C61" i="9"/>
  <c r="D57" i="9"/>
  <c r="C57" i="9"/>
  <c r="E30" i="9"/>
  <c r="E29" i="9"/>
  <c r="P24" i="9"/>
  <c r="O24" i="9"/>
  <c r="M24" i="9"/>
  <c r="L24" i="9"/>
  <c r="K24" i="9"/>
  <c r="J24" i="9"/>
  <c r="I24" i="9"/>
  <c r="H24" i="9"/>
  <c r="G24" i="9"/>
  <c r="F24" i="9"/>
  <c r="E24" i="9"/>
  <c r="R23" i="9"/>
  <c r="S23" i="9" s="1"/>
  <c r="R22" i="9"/>
  <c r="S22" i="9" s="1"/>
  <c r="P19" i="9"/>
  <c r="O19" i="9"/>
  <c r="N19" i="9"/>
  <c r="M19" i="9"/>
  <c r="L19" i="9"/>
  <c r="K19" i="9"/>
  <c r="J19" i="9"/>
  <c r="I19" i="9"/>
  <c r="H19" i="9"/>
  <c r="G19" i="9"/>
  <c r="F19" i="9"/>
  <c r="E19" i="9"/>
  <c r="R16" i="9"/>
  <c r="S16" i="9" s="1"/>
  <c r="R15" i="9"/>
  <c r="P14" i="9"/>
  <c r="O14" i="9"/>
  <c r="N14" i="9"/>
  <c r="M14" i="9"/>
  <c r="L14" i="9"/>
  <c r="K14" i="9"/>
  <c r="J14" i="9"/>
  <c r="I14" i="9"/>
  <c r="H14" i="9"/>
  <c r="G14" i="9"/>
  <c r="F14" i="9"/>
  <c r="E14" i="9"/>
  <c r="R12" i="9"/>
  <c r="S12" i="9" s="1"/>
  <c r="R11" i="9"/>
  <c r="P10" i="9"/>
  <c r="O10" i="9"/>
  <c r="N10" i="9"/>
  <c r="M10" i="9"/>
  <c r="L10" i="9"/>
  <c r="K10" i="9"/>
  <c r="J10" i="9"/>
  <c r="H10" i="9"/>
  <c r="G10" i="9"/>
  <c r="F10" i="9"/>
  <c r="P33" i="9" l="1"/>
  <c r="P34" i="9"/>
  <c r="P38" i="9" s="1"/>
  <c r="O33" i="9"/>
  <c r="O34" i="9"/>
  <c r="O38" i="9" s="1"/>
  <c r="N33" i="9"/>
  <c r="N34" i="9"/>
  <c r="N38" i="9" s="1"/>
  <c r="M33" i="9"/>
  <c r="M34" i="9"/>
  <c r="M38" i="9" s="1"/>
  <c r="L33" i="9"/>
  <c r="L34" i="9"/>
  <c r="L38" i="9" s="1"/>
  <c r="K33" i="9"/>
  <c r="K34" i="9"/>
  <c r="K38" i="9" s="1"/>
  <c r="J34" i="9"/>
  <c r="J38" i="9" s="1"/>
  <c r="J33" i="9"/>
  <c r="I33" i="9"/>
  <c r="I34" i="9"/>
  <c r="I38" i="9" s="1"/>
  <c r="H33" i="9"/>
  <c r="H34" i="9"/>
  <c r="H38" i="9" s="1"/>
  <c r="G33" i="9"/>
  <c r="G34" i="9"/>
  <c r="G38" i="9" s="1"/>
  <c r="F33" i="9"/>
  <c r="F34" i="9"/>
  <c r="F38" i="9" s="1"/>
  <c r="O43" i="9"/>
  <c r="G42" i="9"/>
  <c r="P42" i="9"/>
  <c r="H42" i="9"/>
  <c r="BF16" i="8"/>
  <c r="BI15" i="8"/>
  <c r="BJ15" i="8" s="1"/>
  <c r="J42" i="9"/>
  <c r="G18" i="9"/>
  <c r="H18" i="9"/>
  <c r="E28" i="9"/>
  <c r="E44" i="9" s="1"/>
  <c r="E33" i="9"/>
  <c r="E37" i="9" s="1"/>
  <c r="E34" i="9"/>
  <c r="F42" i="9"/>
  <c r="P18" i="9"/>
  <c r="O18" i="9"/>
  <c r="N42" i="9"/>
  <c r="S15" i="9"/>
  <c r="M42" i="9"/>
  <c r="S11" i="9"/>
  <c r="L18" i="9"/>
  <c r="K18" i="9"/>
  <c r="R14" i="9"/>
  <c r="R5" i="9" s="1"/>
  <c r="R10" i="9"/>
  <c r="R24" i="9"/>
  <c r="S24" i="9"/>
  <c r="K44" i="9"/>
  <c r="I42" i="9"/>
  <c r="R29" i="9"/>
  <c r="S29" i="9" s="1"/>
  <c r="F8" i="25"/>
  <c r="R19" i="9"/>
  <c r="O44" i="9"/>
  <c r="O42" i="9"/>
  <c r="I18" i="9"/>
  <c r="J18" i="9"/>
  <c r="E18" i="9"/>
  <c r="M18" i="9"/>
  <c r="L42" i="9"/>
  <c r="F18" i="9"/>
  <c r="N18" i="9"/>
  <c r="R30" i="9"/>
  <c r="S30" i="9" s="1"/>
  <c r="P32" i="9" l="1"/>
  <c r="P36" i="9" s="1"/>
  <c r="P25" i="9" s="1"/>
  <c r="P37" i="9"/>
  <c r="O32" i="9"/>
  <c r="O36" i="9" s="1"/>
  <c r="O25" i="9" s="1"/>
  <c r="O37" i="9"/>
  <c r="N32" i="9"/>
  <c r="N36" i="9" s="1"/>
  <c r="N37" i="9"/>
  <c r="M32" i="9"/>
  <c r="M36" i="9" s="1"/>
  <c r="M37" i="9"/>
  <c r="L32" i="9"/>
  <c r="L37" i="9"/>
  <c r="K32" i="9"/>
  <c r="K36" i="9" s="1"/>
  <c r="K37" i="9"/>
  <c r="J32" i="9"/>
  <c r="J36" i="9" s="1"/>
  <c r="J37" i="9"/>
  <c r="I37" i="9"/>
  <c r="I32" i="9"/>
  <c r="I36" i="9" s="1"/>
  <c r="H32" i="9"/>
  <c r="H36" i="9" s="1"/>
  <c r="H37" i="9"/>
  <c r="G32" i="9"/>
  <c r="G36" i="9" s="1"/>
  <c r="G25" i="9" s="1"/>
  <c r="G37" i="9"/>
  <c r="F32" i="9"/>
  <c r="F36" i="9" s="1"/>
  <c r="F37" i="9"/>
  <c r="G44" i="9"/>
  <c r="G59" i="9" s="1"/>
  <c r="G43" i="9"/>
  <c r="G58" i="9" s="1"/>
  <c r="O58" i="9"/>
  <c r="P43" i="9"/>
  <c r="P58" i="9" s="1"/>
  <c r="O47" i="9"/>
  <c r="O49" i="9" s="1"/>
  <c r="O51" i="9" s="1"/>
  <c r="J44" i="9"/>
  <c r="J59" i="9" s="1"/>
  <c r="H43" i="9"/>
  <c r="H58" i="9" s="1"/>
  <c r="J43" i="9"/>
  <c r="J58" i="9" s="1"/>
  <c r="M43" i="9"/>
  <c r="M58" i="9" s="1"/>
  <c r="H44" i="9"/>
  <c r="H59" i="9" s="1"/>
  <c r="P44" i="9"/>
  <c r="P59" i="9" s="1"/>
  <c r="P57" i="9" s="1"/>
  <c r="BN15" i="8"/>
  <c r="BF17" i="8"/>
  <c r="BI16" i="8"/>
  <c r="BJ16" i="8" s="1"/>
  <c r="H25" i="9"/>
  <c r="M44" i="9"/>
  <c r="M59" i="9" s="1"/>
  <c r="F43" i="9"/>
  <c r="F58" i="9" s="1"/>
  <c r="L43" i="9"/>
  <c r="L58" i="9" s="1"/>
  <c r="F44" i="9"/>
  <c r="F59" i="9" s="1"/>
  <c r="E43" i="9"/>
  <c r="E42" i="9"/>
  <c r="P47" i="9"/>
  <c r="P49" i="9" s="1"/>
  <c r="P51" i="9" s="1"/>
  <c r="O48" i="9"/>
  <c r="O50" i="9" s="1"/>
  <c r="O52" i="9" s="1"/>
  <c r="E32" i="9"/>
  <c r="E45" i="9" s="1"/>
  <c r="E62" i="9" s="1"/>
  <c r="R33" i="9"/>
  <c r="S33" i="9" s="1"/>
  <c r="S37" i="9" s="1"/>
  <c r="P46" i="9"/>
  <c r="P63" i="9" s="1"/>
  <c r="P45" i="9"/>
  <c r="P62" i="9" s="1"/>
  <c r="P48" i="9"/>
  <c r="P50" i="9" s="1"/>
  <c r="P52" i="9" s="1"/>
  <c r="N43" i="9"/>
  <c r="N58" i="9" s="1"/>
  <c r="N44" i="9"/>
  <c r="N59" i="9" s="1"/>
  <c r="I43" i="9"/>
  <c r="I58" i="9" s="1"/>
  <c r="I44" i="9"/>
  <c r="I59" i="9" s="1"/>
  <c r="M45" i="9"/>
  <c r="M62" i="9" s="1"/>
  <c r="K43" i="9"/>
  <c r="K42" i="9"/>
  <c r="K58" i="9" s="1"/>
  <c r="F46" i="9"/>
  <c r="F63" i="9" s="1"/>
  <c r="I25" i="9"/>
  <c r="L46" i="9"/>
  <c r="L63" i="9" s="1"/>
  <c r="O45" i="9"/>
  <c r="O62" i="9" s="1"/>
  <c r="H45" i="9"/>
  <c r="H62" i="9" s="1"/>
  <c r="R18" i="9"/>
  <c r="L44" i="9"/>
  <c r="L59" i="9" s="1"/>
  <c r="S28" i="9"/>
  <c r="J45" i="9"/>
  <c r="J62" i="9" s="1"/>
  <c r="M46" i="9"/>
  <c r="M63" i="9" s="1"/>
  <c r="R28" i="9"/>
  <c r="O59" i="9"/>
  <c r="O46" i="9"/>
  <c r="O63" i="9" s="1"/>
  <c r="F47" i="9"/>
  <c r="F49" i="9" s="1"/>
  <c r="F51" i="9" s="1"/>
  <c r="E38" i="9"/>
  <c r="R34" i="9"/>
  <c r="S34" i="9" s="1"/>
  <c r="S38" i="9" s="1"/>
  <c r="F9" i="25"/>
  <c r="F10" i="25" s="1"/>
  <c r="C4" i="25" s="1"/>
  <c r="P66" i="9" l="1"/>
  <c r="P69" i="9" s="1"/>
  <c r="O57" i="9"/>
  <c r="L36" i="9"/>
  <c r="L25" i="9" s="1"/>
  <c r="L45" i="9"/>
  <c r="L62" i="9" s="1"/>
  <c r="F45" i="9"/>
  <c r="F62" i="9" s="1"/>
  <c r="G45" i="9"/>
  <c r="G62" i="9" s="1"/>
  <c r="G66" i="9" s="1"/>
  <c r="G69" i="9" s="1"/>
  <c r="J57" i="9"/>
  <c r="H48" i="9"/>
  <c r="H50" i="9" s="1"/>
  <c r="H52" i="9" s="1"/>
  <c r="H57" i="9"/>
  <c r="M57" i="9"/>
  <c r="M67" i="9"/>
  <c r="P67" i="9"/>
  <c r="H47" i="9"/>
  <c r="H49" i="9" s="1"/>
  <c r="H51" i="9" s="1"/>
  <c r="H46" i="9"/>
  <c r="H63" i="9" s="1"/>
  <c r="H67" i="9" s="1"/>
  <c r="G46" i="9"/>
  <c r="G63" i="9" s="1"/>
  <c r="G67" i="9" s="1"/>
  <c r="G47" i="9"/>
  <c r="G49" i="9" s="1"/>
  <c r="G51" i="9" s="1"/>
  <c r="G48" i="9"/>
  <c r="G50" i="9" s="1"/>
  <c r="G52" i="9" s="1"/>
  <c r="BN16" i="8"/>
  <c r="BF18" i="8"/>
  <c r="BI17" i="8"/>
  <c r="BJ17" i="8" s="1"/>
  <c r="F67" i="9"/>
  <c r="E58" i="9"/>
  <c r="R58" i="9" s="1"/>
  <c r="S58" i="9" s="1"/>
  <c r="E59" i="9"/>
  <c r="P61" i="9"/>
  <c r="F57" i="9"/>
  <c r="E46" i="9"/>
  <c r="E63" i="9" s="1"/>
  <c r="E36" i="9"/>
  <c r="E48" i="9" s="1"/>
  <c r="E50" i="9" s="1"/>
  <c r="E52" i="9" s="1"/>
  <c r="K59" i="9"/>
  <c r="G57" i="9"/>
  <c r="L67" i="9"/>
  <c r="L57" i="9"/>
  <c r="O67" i="9"/>
  <c r="N57" i="9"/>
  <c r="M48" i="9"/>
  <c r="M50" i="9" s="1"/>
  <c r="M52" i="9" s="1"/>
  <c r="R37" i="9"/>
  <c r="I57" i="9"/>
  <c r="R38" i="9"/>
  <c r="I48" i="9"/>
  <c r="I50" i="9" s="1"/>
  <c r="I52" i="9" s="1"/>
  <c r="I47" i="9"/>
  <c r="I49" i="9" s="1"/>
  <c r="I51" i="9" s="1"/>
  <c r="K45" i="9"/>
  <c r="K62" i="9" s="1"/>
  <c r="K48" i="9"/>
  <c r="K50" i="9" s="1"/>
  <c r="K52" i="9" s="1"/>
  <c r="I46" i="9"/>
  <c r="I63" i="9" s="1"/>
  <c r="I67" i="9" s="1"/>
  <c r="I45" i="9"/>
  <c r="I62" i="9" s="1"/>
  <c r="R32" i="9"/>
  <c r="E66" i="9"/>
  <c r="E69" i="9" s="1"/>
  <c r="K46" i="9"/>
  <c r="K63" i="9" s="1"/>
  <c r="M61" i="9"/>
  <c r="M66" i="9"/>
  <c r="S32" i="9"/>
  <c r="M25" i="9"/>
  <c r="M47" i="9"/>
  <c r="M49" i="9" s="1"/>
  <c r="M51" i="9" s="1"/>
  <c r="N48" i="9"/>
  <c r="N50" i="9" s="1"/>
  <c r="N52" i="9" s="1"/>
  <c r="N45" i="9"/>
  <c r="N62" i="9" s="1"/>
  <c r="L61" i="9"/>
  <c r="F66" i="9"/>
  <c r="F61" i="9"/>
  <c r="J46" i="9"/>
  <c r="J63" i="9" s="1"/>
  <c r="J67" i="9" s="1"/>
  <c r="H66" i="9"/>
  <c r="F48" i="9"/>
  <c r="F50" i="9" s="1"/>
  <c r="F52" i="9" s="1"/>
  <c r="L66" i="9"/>
  <c r="L69" i="9" s="1"/>
  <c r="F25" i="9"/>
  <c r="J66" i="9"/>
  <c r="J69" i="9" s="1"/>
  <c r="O66" i="9"/>
  <c r="O69" i="9" s="1"/>
  <c r="O61" i="9"/>
  <c r="N46" i="9"/>
  <c r="N63" i="9" s="1"/>
  <c r="N67" i="9" s="1"/>
  <c r="P65" i="9" l="1"/>
  <c r="L48" i="9"/>
  <c r="L50" i="9" s="1"/>
  <c r="L52" i="9" s="1"/>
  <c r="L47" i="9"/>
  <c r="L49" i="9" s="1"/>
  <c r="L51" i="9" s="1"/>
  <c r="R59" i="9"/>
  <c r="S59" i="9" s="1"/>
  <c r="E67" i="9"/>
  <c r="E65" i="9" s="1"/>
  <c r="E25" i="9"/>
  <c r="E61" i="9"/>
  <c r="E57" i="9"/>
  <c r="G61" i="9"/>
  <c r="H61" i="9"/>
  <c r="R36" i="9"/>
  <c r="R25" i="9" s="1"/>
  <c r="M65" i="9"/>
  <c r="M69" i="9"/>
  <c r="H65" i="9"/>
  <c r="H69" i="9"/>
  <c r="F65" i="9"/>
  <c r="F69" i="9"/>
  <c r="BN17" i="8"/>
  <c r="BF19" i="8"/>
  <c r="BI18" i="8"/>
  <c r="BJ18" i="8" s="1"/>
  <c r="BN18" i="8" s="1"/>
  <c r="E47" i="9"/>
  <c r="E49" i="9" s="1"/>
  <c r="E51" i="9" s="1"/>
  <c r="K57" i="9"/>
  <c r="K67" i="9"/>
  <c r="J47" i="9"/>
  <c r="J49" i="9" s="1"/>
  <c r="J51" i="9" s="1"/>
  <c r="G65" i="9"/>
  <c r="L65" i="9"/>
  <c r="O65" i="9"/>
  <c r="I66" i="9"/>
  <c r="I61" i="9"/>
  <c r="J65" i="9"/>
  <c r="J25" i="9"/>
  <c r="J48" i="9"/>
  <c r="J50" i="9" s="1"/>
  <c r="J52" i="9" s="1"/>
  <c r="R63" i="9"/>
  <c r="S63" i="9" s="1"/>
  <c r="J61" i="9"/>
  <c r="N66" i="9"/>
  <c r="N61" i="9"/>
  <c r="R62" i="9"/>
  <c r="S62" i="9" s="1"/>
  <c r="S36" i="9"/>
  <c r="N25" i="9"/>
  <c r="N47" i="9"/>
  <c r="N49" i="9" s="1"/>
  <c r="N51" i="9" s="1"/>
  <c r="K25" i="9"/>
  <c r="K47" i="9"/>
  <c r="K49" i="9" s="1"/>
  <c r="K51" i="9" s="1"/>
  <c r="K61" i="9"/>
  <c r="K66" i="9"/>
  <c r="R67" i="9" l="1"/>
  <c r="S67" i="9" s="1"/>
  <c r="R57" i="9"/>
  <c r="K65" i="9"/>
  <c r="K69" i="9"/>
  <c r="N65" i="9"/>
  <c r="N69" i="9"/>
  <c r="S57" i="9"/>
  <c r="I65" i="9"/>
  <c r="I69" i="9"/>
  <c r="BN14" i="8"/>
  <c r="BF20" i="8"/>
  <c r="BI19" i="8"/>
  <c r="BJ19" i="8" s="1"/>
  <c r="S61" i="9"/>
  <c r="R61" i="9"/>
  <c r="R66" i="9"/>
  <c r="S66" i="9" s="1"/>
  <c r="R65" i="9" l="1"/>
  <c r="S65" i="9"/>
  <c r="BN19" i="8"/>
  <c r="BI20" i="8"/>
  <c r="BJ20" i="8" s="1"/>
  <c r="BN20" i="8" s="1"/>
  <c r="BF21" i="8"/>
  <c r="BF22" i="8" s="1"/>
  <c r="BI22" i="8" s="1"/>
  <c r="BF23" i="8" l="1"/>
  <c r="BI21" i="8"/>
  <c r="BJ21" i="8" s="1"/>
  <c r="BL23" i="8" l="1"/>
  <c r="BN23" i="8" s="1"/>
  <c r="BJ22" i="8"/>
  <c r="BN22" i="8" s="1"/>
  <c r="BF24" i="8"/>
  <c r="BI23" i="8"/>
  <c r="BJ23" i="8" s="1"/>
  <c r="BF25" i="8" l="1"/>
  <c r="BI24" i="8"/>
  <c r="BJ24" i="8" s="1"/>
  <c r="BN24" i="8" l="1"/>
  <c r="BF26" i="8"/>
  <c r="BI25" i="8"/>
  <c r="BJ25" i="8" s="1"/>
  <c r="BN25" i="8" s="1"/>
  <c r="BF27" i="8" l="1"/>
  <c r="BI26" i="8"/>
  <c r="BJ26" i="8" s="1"/>
  <c r="BN26" i="8" l="1"/>
  <c r="BF28" i="8"/>
  <c r="BI27" i="8"/>
  <c r="BJ27" i="8" s="1"/>
  <c r="BN27" i="8" s="1"/>
  <c r="BF29" i="8" l="1"/>
  <c r="BI28" i="8"/>
  <c r="BJ28" i="8" s="1"/>
  <c r="BN28" i="8" l="1"/>
  <c r="BF30" i="8"/>
  <c r="BI29" i="8"/>
  <c r="BJ29" i="8" s="1"/>
  <c r="BN29" i="8" s="1"/>
  <c r="BF31" i="8" l="1"/>
  <c r="BL31" i="8" s="1"/>
  <c r="BN31" i="8" s="1"/>
  <c r="BI30" i="8"/>
  <c r="BJ30" i="8" s="1"/>
  <c r="BN30" i="8" s="1"/>
  <c r="BF32" i="8" l="1"/>
  <c r="BI31" i="8"/>
  <c r="BJ31" i="8" s="1"/>
  <c r="BF33" i="8" l="1"/>
  <c r="BI32" i="8"/>
  <c r="BJ32" i="8" s="1"/>
  <c r="BN32" i="8" l="1"/>
  <c r="BF34" i="8"/>
  <c r="BI33" i="8"/>
  <c r="BJ33" i="8" s="1"/>
  <c r="BN33" i="8" s="1"/>
  <c r="BF35" i="8" l="1"/>
  <c r="BI34" i="8"/>
  <c r="BJ34" i="8" s="1"/>
  <c r="BN34" i="8" l="1"/>
  <c r="BF36" i="8"/>
  <c r="BI35" i="8"/>
  <c r="BJ35" i="8" s="1"/>
  <c r="BN35" i="8" s="1"/>
  <c r="BF37" i="8" l="1"/>
  <c r="BI36" i="8"/>
  <c r="BJ36" i="8" s="1"/>
  <c r="BN36" i="8" s="1"/>
  <c r="BF38" i="8" l="1"/>
  <c r="BL38" i="8" s="1"/>
  <c r="BN38" i="8" s="1"/>
  <c r="BI37" i="8"/>
  <c r="BJ37" i="8" s="1"/>
  <c r="BN37" i="8" s="1"/>
  <c r="BI38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FBD03B-F366-411B-A8BE-91579ACDE7D6}" keepAlive="1" name="Consulta - Table16" description="Conexión a la consulta 'Table16' en el libro." type="5" refreshedVersion="8" background="1" saveData="1">
    <dbPr connection="Provider=Microsoft.Mashup.OleDb.1;Data Source=$Workbook$;Location=Table16;Extended Properties=&quot;&quot;" command="SELECT * FROM [Table16]"/>
  </connection>
  <connection id="2" xr16:uid="{00000000-0015-0000-FFFF-FFFF09000000}" keepAlive="1" name="Query - Dim Product map" description="Connection to the 'Dim Product map' query in the workbook." type="5" refreshedVersion="0" background="1" saveData="1">
    <dbPr connection="Provider=Microsoft.Mashup.OleDb.1;Data Source=$Workbook$;Location=&quot;Dim Product map&quot;;Extended Properties=&quot;&quot;" command="SELECT * FROM [Dim Product map]"/>
  </connection>
  <connection id="3" xr16:uid="{00000000-0015-0000-FFFF-FFFF0A000000}" keepAlive="1" name="Query - DimAccount" description="Connection to the 'DimAccount' query in the workbook." type="5" refreshedVersion="0" background="1">
    <dbPr connection="Provider=Microsoft.Mashup.OleDb.1;Data Source=$Workbook$;Location=DimAccount;Extended Properties=&quot;&quot;" command="SELECT * FROM [DimAccount]"/>
  </connection>
  <connection id="4" xr16:uid="{00000000-0015-0000-FFFF-FFFF0B000000}" keepAlive="1" name="Query - DimEc13-18" description="Connection to the 'DimEc13-18' query in the workbook." type="5" refreshedVersion="0" background="1" saveData="1">
    <dbPr connection="Provider=Microsoft.Mashup.OleDb.1;Data Source=$Workbook$;Location=DimEc13-18;Extended Properties=&quot;&quot;" command="SELECT * FROM [DimEc13-18]"/>
  </connection>
  <connection id="5" xr16:uid="{00000000-0015-0000-FFFF-FFFF0C000000}" keepAlive="1" name="Query - DimLE" description="Connection to the 'DimLE' query in the workbook." type="5" refreshedVersion="0" background="1">
    <dbPr connection="Provider=Microsoft.Mashup.OleDb.1;Data Source=$Workbook$;Location=DimLE;Extended Properties=&quot;&quot;" command="SELECT * FROM [DimLE]"/>
  </connection>
  <connection id="6" xr16:uid="{00000000-0015-0000-FFFF-FFFF0D000000}" keepAlive="1" name="Query - DimRegion-VolumeConvFactor" description="Connection to the 'DimRegion-VolumeConvFactor' query in the workbook." type="5" refreshedVersion="8" background="1" saveData="1">
    <dbPr connection="Provider=Microsoft.Mashup.OleDb.1;Data Source=$Workbook$;Location=DimRegion-VolumeConvFactor;Extended Properties=&quot;&quot;" command="SELECT * FROM [DimRegion-VolumeConvFactor]"/>
  </connection>
  <connection id="7" xr16:uid="{00000000-0015-0000-FFFF-FFFF01000000}" keepAlive="1" name="Query - FactCost-PL_CECAB" description="Connection to the 'FactCost-PL_CECAB' query in the workbook." type="5" refreshedVersion="8" background="1" saveData="1">
    <dbPr connection="Provider=Microsoft.Mashup.OleDb.1;Data Source=$Workbook$;Location=FactCost-PL_CECAB;Extended Properties=&quot;&quot;" command="SELECT * FROM [FactCost-PL_CECAB]"/>
  </connection>
  <connection id="8" xr16:uid="{FAADFEE4-CA64-43FA-B92F-7819935BE671}" keepAlive="1" name="Query - FactCost-PL_CECAB_ECU_Adj" description="Connection to the 'FactCost-PL_CECAB_ECU_Adj' query in the workbook." type="5" refreshedVersion="8" background="1" saveData="1">
    <dbPr connection="Provider=Microsoft.Mashup.OleDb.1;Data Source=$Workbook$;Location=FactCost-PL_CECAB_ECU_Adj;Extended Properties=&quot;&quot;" command="SELECT * FROM [FactCost-PL_CECAB_ECU_Adj]"/>
  </connection>
  <connection id="9" xr16:uid="{EDFDD126-ECF8-44A6-9926-FD571741FE95}" keepAlive="1" name="Query - FactCost-PL-w-Transit" description="Connection to the 'FactCost-PL-w-Transit' query in the workbook." type="5" refreshedVersion="8" background="1" saveData="1">
    <dbPr connection="Provider=Microsoft.Mashup.OleDb.1;Data Source=$Workbook$;Location=FactCost-PL-w-Transit;Extended Properties=&quot;&quot;" command="SELECT * FROM [FactCost-PL-w-Transit]"/>
  </connection>
  <connection id="10" xr16:uid="{3235F2BA-E662-4129-BCCA-04E58D1B2A66}" keepAlive="1" name="Query - FactCost-TransitCalculation" description="Connection to the 'FactCost-TransitCalculation' query in the workbook." type="5" refreshedVersion="8" background="1" saveData="1">
    <dbPr connection="Provider=Microsoft.Mashup.OleDb.1;Data Source=$Workbook$;Location=FactCost-TransitCalculation;Extended Properties=&quot;&quot;" command="SELECT * FROM [FactCost-TransitCalculation]"/>
  </connection>
  <connection id="11" xr16:uid="{D700B06A-CD5F-4DAE-BA20-7087E6243797}" keepAlive="1" name="Query - FactEcuBanRegMENA" description="Connection to the 'FactEcuBanRegMENA' query in the workbook." type="5" refreshedVersion="0" background="1" saveData="1">
    <dbPr connection="Provider=Microsoft.Mashup.OleDb.1;Data Source=$Workbook$;Location=FactEcuBanRegMENA;Extended Properties=&quot;&quot;" command="SELECT * FROM [FactEcuBanRegMENA]"/>
  </connection>
  <connection id="12" xr16:uid="{00000000-0015-0000-FFFF-FFFF0E000000}" odcFile="C:\Users\cmurillo\Downloads\Query - Parameter1.odc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3" xr16:uid="{00000000-0015-0000-FFFF-FFFF0F000000}" odcFile="C:\Users\cmurillo\Downloads\Query - Sample File.odc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4" xr16:uid="{00000000-0015-0000-FFFF-FFFF10000000}" odcFile="C:\Users\cmurillo\Downloads\Query - Transform File.odc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5" xr16:uid="{00000000-0015-0000-FFFF-FFFF11000000}" odcFile="C:\Users\cmurillo\Downloads\Query - Transform Sample File.odc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<sst xmlns="http://schemas.openxmlformats.org/spreadsheetml/2006/main" count="4389" uniqueCount="703">
  <si>
    <t>Region</t>
  </si>
  <si>
    <t>SubRegion</t>
  </si>
  <si>
    <t>Source</t>
  </si>
  <si>
    <t>PINDEC - Pindeco</t>
  </si>
  <si>
    <t>CECAB</t>
  </si>
  <si>
    <t>3VOL - 3rd Party Volumes</t>
  </si>
  <si>
    <t>ISVOL - IC Sales Volumes</t>
  </si>
  <si>
    <t>PRD54500 - Intercompany Sales</t>
  </si>
  <si>
    <t>PRD55000 - Intercompany Purchases</t>
  </si>
  <si>
    <t>PRD59015 - Variable Product cost - Packaging Cost</t>
  </si>
  <si>
    <t>PRD59020 - Variable Product cost - Other Variable Cost</t>
  </si>
  <si>
    <t>PRD65000 - Fixed Product Cost - Cultivation/Raw Product Cost</t>
  </si>
  <si>
    <t>PRD65005 - Fixed Product Cost - Salaries/Wages/Benefits</t>
  </si>
  <si>
    <t>PRD65010 - Fixed Product Cost - Depreciation Expense</t>
  </si>
  <si>
    <t>PRD65015 - Fixed Product Cost - Other Fixed Cost</t>
  </si>
  <si>
    <t>Total Fruit Cost</t>
  </si>
  <si>
    <t>APAC 13</t>
  </si>
  <si>
    <t>EMEA</t>
  </si>
  <si>
    <t>NA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</si>
  <si>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</si>
  <si>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</si>
  <si>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</si>
  <si>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</si>
  <si>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</si>
  <si>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</si>
  <si>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</si>
  <si>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</si>
  <si>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</si>
  <si>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</si>
  <si>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SubFamily</t>
  </si>
  <si>
    <t>ProductID</t>
  </si>
  <si>
    <t>Volume</t>
  </si>
  <si>
    <t>Pine</t>
  </si>
  <si>
    <t>Gold</t>
  </si>
  <si>
    <t>GOLD - Gold Pineapple DM</t>
  </si>
  <si>
    <t>Local Cost</t>
  </si>
  <si>
    <t>Packaging cost  Local</t>
  </si>
  <si>
    <t>Partner Growers Cost  via CECAB</t>
  </si>
  <si>
    <t>Partner Growers Cost  via DMI</t>
  </si>
  <si>
    <t>CECAB Cost + PG via DMI</t>
  </si>
  <si>
    <t>Paper Credit &amp; Other DMI Cost</t>
  </si>
  <si>
    <t>Packaging cost via DMI</t>
  </si>
  <si>
    <t>DMI Add on-Insurance</t>
  </si>
  <si>
    <t>DMI Add On- EPDC NWS &amp; Others</t>
  </si>
  <si>
    <t>DMI Add On</t>
  </si>
  <si>
    <t>HQ Add On</t>
  </si>
  <si>
    <t>SubTotal Add Ons</t>
  </si>
  <si>
    <t>Export LookThrough Fruit Cost</t>
  </si>
  <si>
    <t>Gold 9&amp;10</t>
  </si>
  <si>
    <t>GOLH - Gold Pineapple Honey</t>
  </si>
  <si>
    <t>High Shell Color (HSC)</t>
  </si>
  <si>
    <t>GLHG - Gold Pineapple Honey Glow</t>
  </si>
  <si>
    <t>GOLA - Gold Pineapple Air</t>
  </si>
  <si>
    <t>Rosy</t>
  </si>
  <si>
    <t>GOLR - Gold Pineapple Rosy</t>
  </si>
  <si>
    <t>Crownless</t>
  </si>
  <si>
    <t>CRWN - Crownless Pineapple</t>
  </si>
  <si>
    <t>CHDM - Champaka DM (Used to Organic)</t>
  </si>
  <si>
    <t>Pinkglow</t>
  </si>
  <si>
    <t>ROSE - Rose Pineapple</t>
  </si>
  <si>
    <t>Melon</t>
  </si>
  <si>
    <t>Cantaloupe Harper</t>
  </si>
  <si>
    <t>CANH - Cantaloupe Harper</t>
  </si>
  <si>
    <t>Cantaloupe MAG</t>
  </si>
  <si>
    <t>MAGC - Cantaloupe MAG</t>
  </si>
  <si>
    <t>Cantaloupe</t>
  </si>
  <si>
    <t>CANT - Cantaloupe</t>
  </si>
  <si>
    <t>Honeydew</t>
  </si>
  <si>
    <t>HOND - Honeydew</t>
  </si>
  <si>
    <t>Gold Honeydew</t>
  </si>
  <si>
    <t>DORA - Golden Honeydew</t>
  </si>
  <si>
    <t>Galia</t>
  </si>
  <si>
    <t>GALI - Galia</t>
  </si>
  <si>
    <t>Other Melon</t>
  </si>
  <si>
    <t>OTML - Other Melons</t>
  </si>
  <si>
    <t>Piel de Sapo</t>
  </si>
  <si>
    <t>PDSA - Piel de Sapo</t>
  </si>
  <si>
    <t>Watermelon</t>
  </si>
  <si>
    <t>WATM - Watermelon</t>
  </si>
  <si>
    <t>Watermelon Personal</t>
  </si>
  <si>
    <t>WATP - Watermelon Personal</t>
  </si>
  <si>
    <t>Plantains</t>
  </si>
  <si>
    <t>PLTN - Plantains</t>
  </si>
  <si>
    <t>Other Fresh</t>
  </si>
  <si>
    <t>Other Fruits</t>
  </si>
  <si>
    <t>APPL - Apples</t>
  </si>
  <si>
    <t>AVO - Avocados (Dummy)</t>
  </si>
  <si>
    <t>AVOF - Avocados Fresh</t>
  </si>
  <si>
    <t>LIME - Lemon / Limes</t>
  </si>
  <si>
    <t>OTCT - Other Citrus</t>
  </si>
  <si>
    <t>OTHF - Other Fruits</t>
  </si>
  <si>
    <t>OTPR - Other Products - Other</t>
  </si>
  <si>
    <t>COCO - Coconuts</t>
  </si>
  <si>
    <t>ORAN - Oranges</t>
  </si>
  <si>
    <t>BLBY - Blueberries</t>
  </si>
  <si>
    <t>GROT - Grapes Other</t>
  </si>
  <si>
    <t>GRRG - Grapes Red Globe</t>
  </si>
  <si>
    <t>Other Non Classified</t>
  </si>
  <si>
    <t>9999 - Product Undefined</t>
  </si>
  <si>
    <t>Vegetables-Other</t>
  </si>
  <si>
    <t>CORN - Corn</t>
  </si>
  <si>
    <t>OTVE - Other Vegetables</t>
  </si>
  <si>
    <t>POTA - Potatoes</t>
  </si>
  <si>
    <t>TOGP - Tomatoes Grape</t>
  </si>
  <si>
    <t>TOMA - Tomatoes Roma</t>
  </si>
  <si>
    <t>TOMO - Tomatoes Other</t>
  </si>
  <si>
    <t>BPEP - Bell Peppers</t>
  </si>
  <si>
    <t>LTCE - Lettuce</t>
  </si>
  <si>
    <t>CUCU - Cucumber</t>
  </si>
  <si>
    <t>Other Prepared</t>
  </si>
  <si>
    <t>Fresh Cut Fruits</t>
  </si>
  <si>
    <t>FRSF - Fresh Cut Fruit</t>
  </si>
  <si>
    <t>FRSG - Fresh Cut Gold Pineapple</t>
  </si>
  <si>
    <t>IQF Banana</t>
  </si>
  <si>
    <t>IQFB - IQF Bananas</t>
  </si>
  <si>
    <t>10197 - 10197  5/1kg DM I.Q.F. Banana Slices</t>
  </si>
  <si>
    <t>30402 - 30402 1/10kg I.Q.F. Banana Slices  19-22Bx</t>
  </si>
  <si>
    <t>IQF Pineapples</t>
  </si>
  <si>
    <t>IQFP - IQF Pineapples</t>
  </si>
  <si>
    <t>10121 - 10121 5/1kg I.Q.F. Gold Pineapple Chunks</t>
  </si>
  <si>
    <t>10597 - 10597 1/13,6kg I.Q.F. Pineapple Quarters</t>
  </si>
  <si>
    <t>21871 - 21871 1/10kg I.Q.F. Pine Diced 10mm</t>
  </si>
  <si>
    <t>22720 - 22720 18.14kg I.Q.F Pineapple Chunks (12 cut)</t>
  </si>
  <si>
    <t>25424 - 25424 10kg I.Q.F Pineapple Tidbits 16 CUTS</t>
  </si>
  <si>
    <t>22717 - 22717 18.144kg Frozen Pineapple Descrete</t>
  </si>
  <si>
    <t>30399 - 30399 1/10kg I.Q.F. Pineapple Chunks 12cut</t>
  </si>
  <si>
    <t>Pine Concentrate</t>
  </si>
  <si>
    <t>PINC - Pineapple Concentrate</t>
  </si>
  <si>
    <t>10055 - 10055 1/55gal Frozen Gold Pineapple Concentrate 60Bx</t>
  </si>
  <si>
    <t>25820 - 25820 1/55gal Gold Pineapple SS Frozen Juice</t>
  </si>
  <si>
    <t>Pine Juice</t>
  </si>
  <si>
    <t>PMJP - Pineapple Juce</t>
  </si>
  <si>
    <t>JUCE - Fresh Juice</t>
  </si>
  <si>
    <t>Prepared Pine</t>
  </si>
  <si>
    <t>PSDC - Canned Pineapple</t>
  </si>
  <si>
    <t>Other Product/Services</t>
  </si>
  <si>
    <t>Other Products</t>
  </si>
  <si>
    <t>OTPM - Other Products-Miscellaneous</t>
  </si>
  <si>
    <t>APAC</t>
  </si>
  <si>
    <t>MENA</t>
  </si>
  <si>
    <t>MENA 18</t>
  </si>
  <si>
    <t>Banana</t>
  </si>
  <si>
    <t>Banana Regular</t>
  </si>
  <si>
    <t>BDM - Banana DM</t>
  </si>
  <si>
    <t>BDSD - Banana DM Special Deal</t>
  </si>
  <si>
    <t>BAU - Banana UTC</t>
  </si>
  <si>
    <t>BAR - Banana Rosy</t>
  </si>
  <si>
    <t>BAC - Banana Cluster</t>
  </si>
  <si>
    <t>BCP - Banana Consumer Pack</t>
  </si>
  <si>
    <t>BSH - Banana Small Hands</t>
  </si>
  <si>
    <t>Banana Organic</t>
  </si>
  <si>
    <t>BOR - Banana Organic</t>
  </si>
  <si>
    <t>Banana Others</t>
  </si>
  <si>
    <t>BANB - Banana Baby</t>
  </si>
  <si>
    <t>BANM - Banana Manzano</t>
  </si>
  <si>
    <t>BANR - Banana Red</t>
  </si>
  <si>
    <t>BOTH - Banana Others</t>
  </si>
  <si>
    <t>TBRZ - Brazil</t>
  </si>
  <si>
    <t>TCR - Costa Rica</t>
  </si>
  <si>
    <t>TECU - Ecuador</t>
  </si>
  <si>
    <t>TGUA - Guatemala</t>
  </si>
  <si>
    <t>PANA - Panama</t>
  </si>
  <si>
    <t>TCOL - Colombia</t>
  </si>
  <si>
    <t>Market</t>
  </si>
  <si>
    <t>Family</t>
  </si>
  <si>
    <t>Company</t>
  </si>
  <si>
    <t>Local Sales</t>
  </si>
  <si>
    <t>LOCALVOL - Local Sales Volume</t>
  </si>
  <si>
    <t>Sales</t>
  </si>
  <si>
    <t>PRD50000 - Trade Sales</t>
  </si>
  <si>
    <t>Sales Deductions</t>
  </si>
  <si>
    <t>PRD53100 - Sales Claims</t>
  </si>
  <si>
    <t>PRD53600 - Sales Allowances</t>
  </si>
  <si>
    <t>IC Sales</t>
  </si>
  <si>
    <t>SGA</t>
  </si>
  <si>
    <t>IC Purchases and Consol Adj</t>
  </si>
  <si>
    <t>Other</t>
  </si>
  <si>
    <t>PRD65012 - Fixed Product Cost - Rent</t>
  </si>
  <si>
    <t>PRD59005 - Variable Product Cost - Purchases</t>
  </si>
  <si>
    <t>PRD72000 - Total S G &amp; A</t>
  </si>
  <si>
    <t>Gain/Loss Property Disposal</t>
  </si>
  <si>
    <t>PRD79000 - Other Misc.Gain/(Loss) on Property Disposal</t>
  </si>
  <si>
    <t>Interest Expense</t>
  </si>
  <si>
    <t>PRD77500 - Interest Expense - Net</t>
  </si>
  <si>
    <t>Other Income</t>
  </si>
  <si>
    <t>PRD94500 - Other Income/(Loss), Net</t>
  </si>
  <si>
    <t>Taxes</t>
  </si>
  <si>
    <t>PRD95999 - Total Tax Expenses</t>
  </si>
  <si>
    <t>Account</t>
  </si>
  <si>
    <t>Type LE</t>
  </si>
  <si>
    <t>Type</t>
  </si>
  <si>
    <t>SubType</t>
  </si>
  <si>
    <t>AFUGSA - Aerofumigaciones de Guatemala, SA</t>
  </si>
  <si>
    <t>LA - Central America &amp; Brazil (DUMMY)</t>
  </si>
  <si>
    <t>USD</t>
  </si>
  <si>
    <t>AMARCO - Agencia Maritima de C.R.</t>
  </si>
  <si>
    <t>BANDEP - DMFP Panama S.A.</t>
  </si>
  <si>
    <t>CAMRGA1 - Central  America Region GAC</t>
  </si>
  <si>
    <t>CRCA - Costa Rica</t>
  </si>
  <si>
    <t>CARMEN - Carmen Costa Rica</t>
  </si>
  <si>
    <t>PRD71700 - Asset Impairment &amp; Other Charges</t>
  </si>
  <si>
    <t>PRD79100 - Gain/(Loss) on Renovations</t>
  </si>
  <si>
    <t>Gain/Loss Renovations</t>
  </si>
  <si>
    <t>CODERO - Compania Diversificada El Rosario S.A.</t>
  </si>
  <si>
    <t>GUAT - Guatemala</t>
  </si>
  <si>
    <t>CONGEL - Congelados Del Monte S.A.</t>
  </si>
  <si>
    <t>@18</t>
  </si>
  <si>
    <t>@Local Sales</t>
  </si>
  <si>
    <t>CORPBA - Corporacion Bandeco C.R. S.A.</t>
  </si>
  <si>
    <t>DFDOCL - Desenvolvimento Fitogenetico Do Ceara Ltda</t>
  </si>
  <si>
    <t>BRAZ - Brazil</t>
  </si>
  <si>
    <t>DMFFCR - DMFPI Costa Rica</t>
  </si>
  <si>
    <t>ENVACO - Envaco</t>
  </si>
  <si>
    <t>GUATEM - Bandegua Guatemala</t>
  </si>
  <si>
    <t>PANAMA - Banapina de Panama S.A.</t>
  </si>
  <si>
    <t>PORTAM - Portama</t>
  </si>
  <si>
    <t>PORTOP - Port Operation Division</t>
  </si>
  <si>
    <t>SAKING - Servicios Aereos King Air Ltda</t>
  </si>
  <si>
    <t>BANDEB - Del Monte Fresh Produce Brasil Ltd</t>
  </si>
  <si>
    <t>SPECIA - Del Monte Specialty</t>
  </si>
  <si>
    <t>PAOSA - Productos Agricolas de Oriente S.A.</t>
  </si>
  <si>
    <t>VUIGSA - Vuelos Internos de Guatemala, SA</t>
  </si>
  <si>
    <t>EUFRT1 - EU Alloc Freight 1</t>
  </si>
  <si>
    <t>Markets</t>
  </si>
  <si>
    <t>DMIGNA - DMI GmbH  North America</t>
  </si>
  <si>
    <t>DMI</t>
  </si>
  <si>
    <t>HQ - HQ Input Company</t>
  </si>
  <si>
    <t>HQ</t>
  </si>
  <si>
    <t>INTREB - Internat. Resources Co. Branch</t>
  </si>
  <si>
    <t>ME - ME Input Company</t>
  </si>
  <si>
    <t>DMNA - DMFP NA</t>
  </si>
  <si>
    <t>Market Cost</t>
  </si>
  <si>
    <t>PRD61100 - Total Variable Ocean Freight</t>
  </si>
  <si>
    <t>Ocean Freight</t>
  </si>
  <si>
    <t>PRD62100 - Total Variable Port/Warehouse</t>
  </si>
  <si>
    <t>PRD62699 - Variable Inland Freight / Drayage</t>
  </si>
  <si>
    <t>BANAPI - Banapina de Nicaragua</t>
  </si>
  <si>
    <t>NA - North America (DUMMY)</t>
  </si>
  <si>
    <t>Y</t>
  </si>
  <si>
    <t>EM - EMEA (DUMMY)</t>
  </si>
  <si>
    <t>DMIGAM - DMI GmbH  Asia MENA</t>
  </si>
  <si>
    <t>ME - Middle East (DUMMY)</t>
  </si>
  <si>
    <t>DMIGEU - DMI GmbH  Fresh Europe</t>
  </si>
  <si>
    <t>OTPR - Other Pacific Rim</t>
  </si>
  <si>
    <t>AS - Asia Pacific</t>
  </si>
  <si>
    <t>N</t>
  </si>
  <si>
    <t>INDE - Industrial Europe</t>
  </si>
  <si>
    <t>Consol</t>
  </si>
  <si>
    <t>3INV - 3rd Party Volumes Inventory</t>
  </si>
  <si>
    <t>IVOL - IC Purchase Volumes</t>
  </si>
  <si>
    <t>IINV - IC Volume Inventory</t>
  </si>
  <si>
    <t>DMPVOL - Dumped / Donated Volume</t>
  </si>
  <si>
    <t>PRD55500 - Interco. Purchases Inventory Current</t>
  </si>
  <si>
    <t>PRD56000 - Interco. Purchases Inventory Year End</t>
  </si>
  <si>
    <t>PRD57500 - I/C Profit Elimination - Current Inven.</t>
  </si>
  <si>
    <t>PRD58000 - I/C Profit Elimination - Year End. Inv.</t>
  </si>
  <si>
    <t>PRD59006 - Variable Product Cost - Purchases Local</t>
  </si>
  <si>
    <t>PRD59010 - Variable Product Cost - Profit Sharing</t>
  </si>
  <si>
    <t>PRD59013 - Variable Product Cost - Direct Labor</t>
  </si>
  <si>
    <t>PRD59014 - Variable Product Cost - Packaging Local</t>
  </si>
  <si>
    <t>PRD59025 - Variable Product Cost - Dumps</t>
  </si>
  <si>
    <t>PRD59060 - Variable Product Cost -Unallocated</t>
  </si>
  <si>
    <t>PRD65007 - Fixed Product Cost -  Indirect labor</t>
  </si>
  <si>
    <t>PRD65011 - Fixed Product Cost - Depreciation Expense Local</t>
  </si>
  <si>
    <t>PRD65014 - Fixed Product Cost - Other Fixed Cost Local</t>
  </si>
  <si>
    <t>PRD65055 - Fixed Product Cost - Dumps</t>
  </si>
  <si>
    <t>PRD65060 - Fixed Product Cost - Unallocated</t>
  </si>
  <si>
    <t>PRD63000 - Other Variable Costs Unallocated</t>
  </si>
  <si>
    <t>PRD63100 - Other Variable Costs</t>
  </si>
  <si>
    <t>USGVOL - Usage Volume</t>
  </si>
  <si>
    <t>FDMPG21 - Fresh Del Monte Produce Inc Consolidation GAC</t>
  </si>
  <si>
    <t>N/A</t>
  </si>
  <si>
    <t>MANN - Mann Packing</t>
  </si>
  <si>
    <t>KOR - Korea</t>
  </si>
  <si>
    <t>HK - Hong Kong</t>
  </si>
  <si>
    <t>APAC 18</t>
  </si>
  <si>
    <t>JAPD - Japan</t>
  </si>
  <si>
    <t>CONSER - Conserba SA</t>
  </si>
  <si>
    <t>ECUADO - Bandecua Ecuador</t>
  </si>
  <si>
    <t>DMFCUT - Del Monte Fresh Cut SAS</t>
  </si>
  <si>
    <t>FRNC - France</t>
  </si>
  <si>
    <t>DMFRAN - Del Monte Fresh France</t>
  </si>
  <si>
    <t>I/C Profit and Inv Adj</t>
  </si>
  <si>
    <t>DMHOIT - DMFP Holland (Italy)  B.V.</t>
  </si>
  <si>
    <t>EUREGA1 - Europe Region GAC</t>
  </si>
  <si>
    <t>ITAFRE - Del Monte Italy Fresh</t>
  </si>
  <si>
    <t>BALK - Balkans</t>
  </si>
  <si>
    <t>Out of Cost</t>
  </si>
  <si>
    <t>ITEU - Italy</t>
  </si>
  <si>
    <t>DMFPPO - DM Foods (Poland ) Sp.</t>
  </si>
  <si>
    <t>PLND - Poland</t>
  </si>
  <si>
    <t>DMFPSP - DMFP Spain S.A.</t>
  </si>
  <si>
    <t>PRTL - Portugal</t>
  </si>
  <si>
    <t>SPAN - Spain</t>
  </si>
  <si>
    <t>PORTUG - DM Portugal SU Lda</t>
  </si>
  <si>
    <t>TUNI - Tunisia</t>
  </si>
  <si>
    <t>UAE - United Arab Emirates</t>
  </si>
  <si>
    <t>DMIGBB - DMI GmbH  Barbados Branch</t>
  </si>
  <si>
    <t xml:space="preserve">Packaging cost via DMI </t>
  </si>
  <si>
    <t>UK - United Kingdom</t>
  </si>
  <si>
    <t>HOLL - Holland</t>
  </si>
  <si>
    <t>GRMY - Germany</t>
  </si>
  <si>
    <t>9999 - Market Undefined</t>
  </si>
  <si>
    <t>TBERGA1 - Total DMFPI Bermuda Europe GAC</t>
  </si>
  <si>
    <t>EU - EU Input Company</t>
  </si>
  <si>
    <t>OEAF - Other East Africa</t>
  </si>
  <si>
    <t>EAEU - Eastern Europe</t>
  </si>
  <si>
    <t>GRCE - Greece</t>
  </si>
  <si>
    <t>DMFOHO - DM Foods  Holland  B.V.</t>
  </si>
  <si>
    <t>INDH - Industrial Europe - HIWA</t>
  </si>
  <si>
    <t>DMIGFE - DMI GmbH  Foods Europe</t>
  </si>
  <si>
    <t>PRD59022 - Variable Product cost - Inventory Adjustments</t>
  </si>
  <si>
    <t>UKMU - UK Multiples</t>
  </si>
  <si>
    <t>FOODIN - Foods Management Input</t>
  </si>
  <si>
    <t>HFI - Del Monte Hellas SA</t>
  </si>
  <si>
    <t>DMGERM - DMFP Germany</t>
  </si>
  <si>
    <t>DMFPHO - DMFP Holland B.V.</t>
  </si>
  <si>
    <t>DMUK - Del Monte (UK) Limited</t>
  </si>
  <si>
    <t>KUWA - Kuwait</t>
  </si>
  <si>
    <t>MORO - Morocco</t>
  </si>
  <si>
    <t>EGYD - Egypt Direct Market</t>
  </si>
  <si>
    <t>MENO - MENA Other Markets</t>
  </si>
  <si>
    <t>MERE - Russia ME</t>
  </si>
  <si>
    <t>SAUD - Saudi Arabia</t>
  </si>
  <si>
    <t>TRKY - Turkey</t>
  </si>
  <si>
    <t>QATA - Qatar</t>
  </si>
  <si>
    <t>DMFSAR - Del Monte  Saudi Arabia Foods Co. Ltd</t>
  </si>
  <si>
    <t>KUWAIT - Del Monte Kuwiat</t>
  </si>
  <si>
    <t>MOROCC - Del Monte Morocco Company Limited</t>
  </si>
  <si>
    <t>QATAR - Del Monte Foods WLL</t>
  </si>
  <si>
    <t>DMSAC - Del Monte Saudi Arabia Co. Ltd</t>
  </si>
  <si>
    <t>UAE - Del Monte Foods UAE</t>
  </si>
  <si>
    <t>TURKEY - Del Monte Gida Ticaret Ve Sanayi Ltd Si</t>
  </si>
  <si>
    <t>TURKEYD - Del Monte Gida Ticaret Ve Sanayi Ltd Si USD</t>
  </si>
  <si>
    <t>NANA - FDMPRE North America Region Pullout</t>
  </si>
  <si>
    <t>FOBS - FOB Sales</t>
  </si>
  <si>
    <t>PRD59024 - Variable Product Cost – Inbound Freight</t>
  </si>
  <si>
    <t>ATLD - Atlanta Direct</t>
  </si>
  <si>
    <t>ATLI - Atlanta</t>
  </si>
  <si>
    <t>BLTD - Baltimore Direct</t>
  </si>
  <si>
    <t>BLTI - Baltimore</t>
  </si>
  <si>
    <t>BOSD - Boston Direct</t>
  </si>
  <si>
    <t>BOSI - Boston</t>
  </si>
  <si>
    <t>CHID - Chicago Direct</t>
  </si>
  <si>
    <t>CHII - Chicago</t>
  </si>
  <si>
    <t>COLD - Columbus Direct</t>
  </si>
  <si>
    <t>COLI - Columbus</t>
  </si>
  <si>
    <t>DALD - Dallas Direct</t>
  </si>
  <si>
    <t>DALI - Dallas</t>
  </si>
  <si>
    <t>DEND - Denver Direct</t>
  </si>
  <si>
    <t>DENI - Denver</t>
  </si>
  <si>
    <t>FTLD - Ft. Lauderdale Direct</t>
  </si>
  <si>
    <t>FTLI - Ft. Lauderdale</t>
  </si>
  <si>
    <t>GRND - Greensboro Direct</t>
  </si>
  <si>
    <t>GRNI - Greensboro</t>
  </si>
  <si>
    <t>HOUI - Houston Indirect</t>
  </si>
  <si>
    <t>JCKD - Jacksonville Direct</t>
  </si>
  <si>
    <t>JCKI - Jacksonville</t>
  </si>
  <si>
    <t>KAND - Kansas City Direct</t>
  </si>
  <si>
    <t>KANI - Kansas City</t>
  </si>
  <si>
    <t>KNKI - Kankakee</t>
  </si>
  <si>
    <t>LANI - Los Angeles</t>
  </si>
  <si>
    <t>PCTD - Plant City Direct</t>
  </si>
  <si>
    <t>PCTI - Plant City</t>
  </si>
  <si>
    <t>PHID - Philadelphia Direct</t>
  </si>
  <si>
    <t>PHII - Philadelphia</t>
  </si>
  <si>
    <t>PHNI - Phoenix</t>
  </si>
  <si>
    <t>PORI - Portland</t>
  </si>
  <si>
    <t>SEAI - Seattle</t>
  </si>
  <si>
    <t>TORI - Toronto Indirect</t>
  </si>
  <si>
    <t>WINI - Winder</t>
  </si>
  <si>
    <t>DALSAP - DM Dallas - SAP</t>
  </si>
  <si>
    <t>DMDALL - Del Monte Dallas</t>
  </si>
  <si>
    <t>CANADA - FDM Produce Canada Inc</t>
  </si>
  <si>
    <t>DMFPCA - DMFP Canada Corp</t>
  </si>
  <si>
    <t>TOR - Toronto</t>
  </si>
  <si>
    <t>MANNPK - Mann Packing Company</t>
  </si>
  <si>
    <t>NAMRGA1 - North America Region GAC</t>
  </si>
  <si>
    <t>AP - AP Input Company</t>
  </si>
  <si>
    <t>CHIN - China</t>
  </si>
  <si>
    <t>SING - Singapore</t>
  </si>
  <si>
    <t>DMIGAP - DMI GmbH  Asia Pacific</t>
  </si>
  <si>
    <t>HKLTD - DMFP Hong Kong Limited</t>
  </si>
  <si>
    <t>JAPLTD - FDM Japan Company Ltd.</t>
  </si>
  <si>
    <t>KORLTD - DMFP Korea Limited</t>
  </si>
  <si>
    <t>FRDC - France DC</t>
  </si>
  <si>
    <t>ITDC - Italy DC</t>
  </si>
  <si>
    <t>SPADC - Spain DC</t>
  </si>
  <si>
    <t>GRDC - Germany DC</t>
  </si>
  <si>
    <t>UKDC - United Kingdom DC</t>
  </si>
  <si>
    <t>IRAQ - Iraq</t>
  </si>
  <si>
    <t>JPDC - Japan DC</t>
  </si>
  <si>
    <t>KRDC - Korea DC</t>
  </si>
  <si>
    <t>HKDC - Hong Kong DC</t>
  </si>
  <si>
    <t>HQ - Corporate Headquarters</t>
  </si>
  <si>
    <t>PRD65006 - Fixed Product Cost - Salaries/Wages/Benefits Local</t>
  </si>
  <si>
    <t>HOUD - Houston Direct</t>
  </si>
  <si>
    <t>SEAD - Seattle Direct</t>
  </si>
  <si>
    <t>CECAB Exported-Own</t>
  </si>
  <si>
    <t>DME3 - DM Europe Ltd (Co3)</t>
  </si>
  <si>
    <t>CECAB Exported-DMI</t>
  </si>
  <si>
    <t>GOZI - Gonzalez Indirect</t>
  </si>
  <si>
    <t>MEREGGA - Middle East GAC</t>
  </si>
  <si>
    <t>PARRGA1 - Pacific Rim Region GAC</t>
  </si>
  <si>
    <t>TSPAGA1 - Total DMFP Spain GAC</t>
  </si>
  <si>
    <t>JORD - Jordan</t>
  </si>
  <si>
    <t>FDMPRE - Fresh Del Monte Produce Inc Consolidation</t>
  </si>
  <si>
    <t>MANG - Mangos</t>
  </si>
  <si>
    <t>OAKI - Oakland</t>
  </si>
  <si>
    <t>Folder is updated automatically</t>
  </si>
  <si>
    <t>Folder Location</t>
  </si>
  <si>
    <t>Process to Extract the Folder and File name</t>
  </si>
  <si>
    <t>Name of Folder for Planful Act--&gt;</t>
  </si>
  <si>
    <t>Calculation</t>
  </si>
  <si>
    <t>Total number of Characters</t>
  </si>
  <si>
    <t>Number of Char</t>
  </si>
  <si>
    <t>Extract the folder</t>
  </si>
  <si>
    <t>Replace the Sharepoint address with a local adress</t>
  </si>
  <si>
    <t xml:space="preserve">Time last Updated </t>
  </si>
  <si>
    <t>Time Stamp--&gt;</t>
  </si>
  <si>
    <t>TIME STAMP.  When database is updated, select A13 cell, press [Crt + Shift + ;] , plus [Space], plus [Ctrl+;] Again.</t>
  </si>
  <si>
    <t>STATUS</t>
  </si>
  <si>
    <t>Principles for LT Export Cost</t>
  </si>
  <si>
    <t>Principles for Volume:</t>
  </si>
  <si>
    <t>1) Everything in CECAB LE is Export LT</t>
  </si>
  <si>
    <t>1) CECAB exported volume in IC Sales, and Local Sales</t>
  </si>
  <si>
    <t>2) Everything on DMI LE (which CECAB invoices to) is Export LT , exlcuding Accounts for IC PROFIT and INVENTORY ACCOUNTS</t>
  </si>
  <si>
    <t>2) DMI purchases from PG accounted in 3VOL AND 3INV, as transits are deducted from the USD registered in the period</t>
  </si>
  <si>
    <t>3) Everything on Markets LE is part of LT, but not part of Export LT</t>
  </si>
  <si>
    <t>3) Everything else is not part of month loading</t>
  </si>
  <si>
    <t>4) Everything on HQ accounts is part of Export LT</t>
  </si>
  <si>
    <t>5) Everything on Consol is not part of Export Lt</t>
  </si>
  <si>
    <t>Account mapping to LT Export or not, based on the type of LE</t>
  </si>
  <si>
    <t>Product Mapping</t>
  </si>
  <si>
    <t>Y/N part of LT Export</t>
  </si>
  <si>
    <t>Account SubDescription</t>
  </si>
  <si>
    <t>CECAB1</t>
  </si>
  <si>
    <t>DMI1</t>
  </si>
  <si>
    <t>HQ1</t>
  </si>
  <si>
    <t>Markets1</t>
  </si>
  <si>
    <t>Consol1</t>
  </si>
  <si>
    <t>ConvFac</t>
  </si>
  <si>
    <t>Comments</t>
  </si>
  <si>
    <t>SubFamilyIndex</t>
  </si>
  <si>
    <t>Familyindex</t>
  </si>
  <si>
    <t>ProductIndex</t>
  </si>
  <si>
    <t>A</t>
  </si>
  <si>
    <t>DUMPVOL18EQ - Dumped / Donated Volume 18EQ</t>
  </si>
  <si>
    <t>Only Jan-Feb, 88% 13 Kg, 12% 18Kg</t>
  </si>
  <si>
    <t xml:space="preserve">SubTotal CECAB Cost </t>
  </si>
  <si>
    <t>B</t>
  </si>
  <si>
    <t>IINV18EQ - IC Volume Inventory 18 Equiv</t>
  </si>
  <si>
    <t>Done on Temporary Basis</t>
  </si>
  <si>
    <t>IVOL18EQ - IC Sales Volumes 18 Equiv</t>
  </si>
  <si>
    <t>C</t>
  </si>
  <si>
    <t>LOCALVOL18EQ - Local Sales Volume - 18EQ</t>
  </si>
  <si>
    <t>USGVOL18EQ - Usage Volume 18EQ</t>
  </si>
  <si>
    <t>Total</t>
  </si>
  <si>
    <t>Volume -Exported vs 3Party Sold</t>
  </si>
  <si>
    <t>Add Cost by Market</t>
  </si>
  <si>
    <t>LookThrough Fruit Cost</t>
  </si>
  <si>
    <t xml:space="preserve">DMI </t>
  </si>
  <si>
    <t>HK1 - Hong Kong Input (Dummy)</t>
  </si>
  <si>
    <t>JA - Japan Input (Dummy)</t>
  </si>
  <si>
    <t>KORD - Korea Input (Dummy)</t>
  </si>
  <si>
    <t>JED - Jeddah</t>
  </si>
  <si>
    <t>LIB - Libya</t>
  </si>
  <si>
    <t>OMA - Oman</t>
  </si>
  <si>
    <t>TGUA - Guatemala HU</t>
  </si>
  <si>
    <t>Principles</t>
  </si>
  <si>
    <t>No need to touch DMI volumes, as DM volumes are loaded per country</t>
  </si>
  <si>
    <t>BADECUA Exported as it is, adjusting quantity since 100% volume is on 13kg</t>
  </si>
  <si>
    <t>Yellow Cells --Input Required</t>
  </si>
  <si>
    <t>ONLY BANANA REGULAR</t>
  </si>
  <si>
    <t>Nov</t>
  </si>
  <si>
    <t>Dec</t>
  </si>
  <si>
    <t>YTD</t>
  </si>
  <si>
    <t>YTD @18kg</t>
  </si>
  <si>
    <t>BANDECUA</t>
  </si>
  <si>
    <t>Local</t>
  </si>
  <si>
    <t>Coming from Ec File---&gt;</t>
  </si>
  <si>
    <t>13kg</t>
  </si>
  <si>
    <t>18Kg</t>
  </si>
  <si>
    <t>Net local + DMI Acc Ec</t>
  </si>
  <si>
    <t>Just to validate vs Ec file</t>
  </si>
  <si>
    <t>Planful by Ecuador</t>
  </si>
  <si>
    <t>Coming from Planful --&gt;</t>
  </si>
  <si>
    <t>DMI (include Transits)</t>
  </si>
  <si>
    <t>PLANFUL</t>
  </si>
  <si>
    <t>Vs Should BE</t>
  </si>
  <si>
    <t>Should Be</t>
  </si>
  <si>
    <t xml:space="preserve">Total </t>
  </si>
  <si>
    <t>FINAL TABLE USED IN THE QUERY</t>
  </si>
  <si>
    <t>% to Calc</t>
  </si>
  <si>
    <t>LE Type</t>
  </si>
  <si>
    <t>Vol Adj</t>
  </si>
  <si>
    <t>Mena 13</t>
  </si>
  <si>
    <t>Mena 18</t>
  </si>
  <si>
    <t>CHECK</t>
  </si>
  <si>
    <t>Volume Back Calculation</t>
  </si>
  <si>
    <t>13Kg</t>
  </si>
  <si>
    <t>Management Planful Accounts</t>
  </si>
  <si>
    <t>LE Group</t>
  </si>
  <si>
    <t>Cost Group</t>
  </si>
  <si>
    <t>What's in</t>
  </si>
  <si>
    <t>Inv Adj Entries (Profit IC)</t>
  </si>
  <si>
    <t>CECAB Local Cost</t>
  </si>
  <si>
    <t>Not used in CECAB</t>
  </si>
  <si>
    <t>Not used in DMI</t>
  </si>
  <si>
    <t>Cost in Sales Markets (Dump, Local Pack, Others)</t>
  </si>
  <si>
    <t>HQ Allocations (IT &amp; Others)</t>
  </si>
  <si>
    <t>Adjustments in Consol Entities (normally only IC Sales and IC Purchases with balance netting from other entities)</t>
  </si>
  <si>
    <t>Chassis and gen set invoiced by third party supplier</t>
  </si>
  <si>
    <t>Partner Growers Cost (Excluding Packaging)</t>
  </si>
  <si>
    <t>PG Purchases (in DMI, includes Transit Entry Adj)</t>
  </si>
  <si>
    <t>Harvesting, Taxes &amp; Incentives, Inland Freight, Por refrigeration, loading, Export Taxes</t>
  </si>
  <si>
    <t>Packaging cost (Including Paper credits, etc)</t>
  </si>
  <si>
    <t>Paper Credit, Label Plastic Cost (EC),Export Taxes, Inland Freight, Wharfage, Damage, IP rebates, Paper discounts, Commission and Ocean credit</t>
  </si>
  <si>
    <t>Boxes (ENVACO and Third Parties), Pallets, Plastic and Labels</t>
  </si>
  <si>
    <t>Boxes/Paper purchases, includes Pallet allocation from NWS</t>
  </si>
  <si>
    <t>Depreciation for part of Port Ops operation</t>
  </si>
  <si>
    <t>Office, Computer, Other equipment and land rent</t>
  </si>
  <si>
    <t>Non Salary related Indirect Cost (Incl Farm Admin), Sigatoka, R&amp;M</t>
  </si>
  <si>
    <t>Melon Land Lease in GT, other leases, Cost related to the operation of Airplanes GT, includes amort from engines overhaul in GT, EPDC (equipment per diem cost) from NWS</t>
  </si>
  <si>
    <t>Depreciation CECAB (includes ENVACO Dep)</t>
  </si>
  <si>
    <t xml:space="preserve"> Depreciation from Airplanes from DMI for GT</t>
  </si>
  <si>
    <t>Cultivation cost, including Pest Control, R&amp;M, fruit protection, Sigatoka, ACP/Renovation</t>
  </si>
  <si>
    <t>Aetna Life Insurance cost, Technical Services EC (DMI)</t>
  </si>
  <si>
    <t>S&amp;W for non farms operation (Indirect cost, etc.)</t>
  </si>
  <si>
    <t>COGS account not in Fruit Cost (Hedge Cost CECAB)</t>
  </si>
  <si>
    <t xml:space="preserve">COGS account not in Fruit Cost </t>
  </si>
  <si>
    <t>Intercompany Purchases (net out with IC Sales)</t>
  </si>
  <si>
    <t>Intercompany Sales (not cost)</t>
  </si>
  <si>
    <t xml:space="preserve">Sales to 3rd Parties </t>
  </si>
  <si>
    <t>Sales to 3rd Parties in 18 Kg Banana</t>
  </si>
  <si>
    <t>Volume Exported via CECAB LE (own farms and PG)</t>
  </si>
  <si>
    <t>Other Volume (not used)</t>
  </si>
  <si>
    <t>Volume Purchased to PG via DMI</t>
  </si>
  <si>
    <t>Volume in Transit Purchased to PG via DMI</t>
  </si>
  <si>
    <t xml:space="preserve">Fruit Cost Subtotal Account </t>
  </si>
  <si>
    <t>Normally in 0, as Consol only have IC Sales/Purchases</t>
  </si>
  <si>
    <t>OPML - Other Prepared Meals</t>
  </si>
  <si>
    <t>Other - Prepared</t>
  </si>
  <si>
    <t>PAMR - Panama Market</t>
  </si>
  <si>
    <t>RGPI - Ruby Glow Pineapples</t>
  </si>
  <si>
    <t>RubyGlow</t>
  </si>
  <si>
    <t>DMIGB2 - DMI GmbH Barbados Branch (Foods)</t>
  </si>
  <si>
    <t>Volume Conversion Factors, Region/Subregion Mapping</t>
  </si>
  <si>
    <t>LEGAL ENTITIES TYPE and Location</t>
  </si>
  <si>
    <t>Type of LE NOT MAPPED</t>
  </si>
  <si>
    <t>Market-Source Combination NOT MAPPED</t>
  </si>
  <si>
    <t>Product NOT MAPPED</t>
  </si>
  <si>
    <t>Account NOT MAPPED</t>
  </si>
  <si>
    <t>COMING FROM ISVOL - IC Sales Volumes ACCOUNT FOR SOURCE ECUADOR, REGION MENA, PRODUCT BANANA REG - LOCAL SALES UNITS</t>
  </si>
  <si>
    <t>COMING FROM ISVOL - IC Sales Volumes ACCOUNT FOR SOURCE ECUADOR, REGION MENA, PRODUCT BANANA REG, LOCAL SALES UNITS</t>
  </si>
  <si>
    <t>Info as suminstrated by Yare and Ligia in Ecuador</t>
  </si>
  <si>
    <t>Calculation of Planful Volume in 13 and 18Kg, based on the split provided by Ecuador (until we have a better way to automate it)</t>
  </si>
  <si>
    <t>REMEMBER TO UPDATE THE DATE WHEN STARTING THE YEAR</t>
  </si>
  <si>
    <t>Just calculation of % to proceed with the calculations in the query</t>
  </si>
  <si>
    <t>The Table above only work for VOLUME.  USD split (done in the query) is done based on volume and mantaining the $/Box</t>
  </si>
  <si>
    <t>For Example, there is 100 Boxes Total Ecuador, in LocalEquivalent</t>
  </si>
  <si>
    <t>75 Boxes are in 13Kg Eqv</t>
  </si>
  <si>
    <t>25 Boxes are in 18Kg Eqv</t>
  </si>
  <si>
    <t>Volume percentages are 75% and 25%</t>
  </si>
  <si>
    <t>i.e, if there is 1,000 USD In Cost</t>
  </si>
  <si>
    <t>1) we equalize volume @ 18</t>
  </si>
  <si>
    <t>1.1 13Kg to 18Kg = 75 Boxes * 13/18 = 54.16 BOXES of 13kg @ 18 Kg equivalents</t>
  </si>
  <si>
    <t>1.2 Total Volume in 18Kg is 54.16 (13kg @18) + 25 Boxes (@18kg) = 79.16 Boxes total @ 18Kg Conv</t>
  </si>
  <si>
    <t>2) We calculate the USD Split based on 18Kg split:</t>
  </si>
  <si>
    <t>3) Calculate the USD:</t>
  </si>
  <si>
    <t>USD 13Kg = 1000 * 68.41% = 684.1 $</t>
  </si>
  <si>
    <t>USD 18 Kg = 1000 * 31.6% = 316 $</t>
  </si>
  <si>
    <t>For USD. We normalize do allocation in Boxes BUT in 18 equivalent</t>
  </si>
  <si>
    <r>
      <t>2.1 Factor for USD 13Kg = 54.16/79.16=0.68 or</t>
    </r>
    <r>
      <rPr>
        <b/>
        <sz val="11"/>
        <color theme="1"/>
        <rFont val="Arial Nova Cond"/>
        <family val="2"/>
      </rPr>
      <t xml:space="preserve"> 68.41% of USD </t>
    </r>
    <r>
      <rPr>
        <sz val="11"/>
        <color theme="1"/>
        <rFont val="Arial Nova Cond"/>
        <family val="2"/>
      </rPr>
      <t>will be send to 13Kg</t>
    </r>
  </si>
  <si>
    <r>
      <t xml:space="preserve">2.2 Factor for USD 18Kg = 25/79.16=0.316 or </t>
    </r>
    <r>
      <rPr>
        <b/>
        <sz val="11"/>
        <color theme="1"/>
        <rFont val="Arial Nova Cond"/>
        <family val="2"/>
      </rPr>
      <t>31.6% of USD</t>
    </r>
    <r>
      <rPr>
        <sz val="11"/>
        <color theme="1"/>
        <rFont val="Arial Nova Cond"/>
        <family val="2"/>
      </rPr>
      <t xml:space="preserve"> will be send to 18Kg</t>
    </r>
  </si>
  <si>
    <t>FORMULA = MENA13*13/18+MENA18</t>
  </si>
  <si>
    <t>FORMULA=(MENA13*13/18)/[MENA13*13/18+MENA18]</t>
  </si>
  <si>
    <t>FORMULA=MENA18/[MENA13*13/18+MENA18]</t>
  </si>
  <si>
    <t>Done in the QUERY</t>
  </si>
  <si>
    <t>Waterfall Breakdown</t>
  </si>
  <si>
    <t>4) Local sales volume in CECAB Markets is CECAB (independently from Source)</t>
  </si>
  <si>
    <t>Type LE, is CECAB Cost (Y), is Fruit Cost but not cecab (N), is outside Fruit Cost (N/A)</t>
  </si>
  <si>
    <t>SourceID</t>
  </si>
  <si>
    <t xml:space="preserve">Location - Using "Forecast" as the location of files. </t>
  </si>
  <si>
    <t>AccountFamilyIDRec</t>
  </si>
  <si>
    <t>Volume  CECAB (Export+Local)</t>
  </si>
  <si>
    <t>CummVolume</t>
  </si>
  <si>
    <t>CummUSD</t>
  </si>
  <si>
    <t>Cumm$/Box</t>
  </si>
  <si>
    <t>Diff$/Box</t>
  </si>
  <si>
    <t>-</t>
  </si>
  <si>
    <t>Partner Growers via DMI</t>
  </si>
  <si>
    <t>Volume to Show</t>
  </si>
  <si>
    <t>USD to Show</t>
  </si>
  <si>
    <t>$/Box to Show</t>
  </si>
  <si>
    <t>SHOW</t>
  </si>
  <si>
    <t>HIDE</t>
  </si>
  <si>
    <t>D</t>
  </si>
  <si>
    <t>A+B</t>
  </si>
  <si>
    <t>A+B+C</t>
  </si>
  <si>
    <t>A+B+C+D</t>
  </si>
  <si>
    <t>Partner Grower Cost Dilution</t>
  </si>
  <si>
    <t>SubTType</t>
  </si>
  <si>
    <t>SubAcccGroup</t>
  </si>
  <si>
    <t>SortIndex</t>
  </si>
  <si>
    <t>AggreIndex</t>
  </si>
  <si>
    <t>Local Sales CECAB</t>
  </si>
  <si>
    <t>Local Sales Markets</t>
  </si>
  <si>
    <t>Exported_vs_LocalSales</t>
  </si>
  <si>
    <t>A is Running Total (i.e use cummulative ammount)</t>
  </si>
  <si>
    <t>B denotes a inside Group Total</t>
  </si>
  <si>
    <t>Partner Grower Cost (Fruit Only)</t>
  </si>
  <si>
    <t>Total Partner Growers via DMI-$/Box Dilution</t>
  </si>
  <si>
    <t>MENA 13 @ 18</t>
  </si>
  <si>
    <t>READ IT FIRST:</t>
  </si>
  <si>
    <t>a) For Banana products (regular, organic and others) go to Banana Worksheet</t>
  </si>
  <si>
    <t>VERY IMPORTANT : All banana information is in 18KG</t>
  </si>
  <si>
    <t>b) For any other product (Pine, melon, Plantains, IQF, etc) go to Others Worksheet</t>
  </si>
  <si>
    <t>c) Select the month(s) in the time slicer:</t>
  </si>
  <si>
    <t>You can select one or several months</t>
  </si>
  <si>
    <t xml:space="preserve">d) Select the region in the Region Slicer. </t>
  </si>
  <si>
    <t xml:space="preserve"> For regions with 13 and 18KG (APAC and MENA) different columns will appear in the table</t>
  </si>
  <si>
    <t>Account subtype slicer is not needed for visualization purposed, inluded only for calculations</t>
  </si>
  <si>
    <t>ColorPowerBITable</t>
  </si>
  <si>
    <t>G</t>
  </si>
  <si>
    <t>LB</t>
  </si>
  <si>
    <t>DB</t>
  </si>
  <si>
    <t>IT</t>
  </si>
  <si>
    <t>SourceName</t>
  </si>
  <si>
    <t>Panama</t>
  </si>
  <si>
    <t>Costa Rica</t>
  </si>
  <si>
    <t>Ecuador</t>
  </si>
  <si>
    <t>Guatemala</t>
  </si>
  <si>
    <t>Brazil</t>
  </si>
  <si>
    <t>Colombia</t>
  </si>
  <si>
    <t>Short</t>
  </si>
  <si>
    <t>PAN</t>
  </si>
  <si>
    <t>CRC</t>
  </si>
  <si>
    <t>ECU</t>
  </si>
  <si>
    <t>GUA</t>
  </si>
  <si>
    <t>BRA</t>
  </si>
  <si>
    <t>COL</t>
  </si>
  <si>
    <t>Index</t>
  </si>
  <si>
    <t>P&amp;L Waterfall</t>
  </si>
  <si>
    <t>DMIGCR - Del Monte International GmbH (Costa Rica)</t>
  </si>
  <si>
    <t>PRE - Prepared Food (DUMMY)</t>
  </si>
  <si>
    <t>HQNA - Corporate Headquarters NA</t>
  </si>
  <si>
    <t>PLDC - Poland DC</t>
  </si>
  <si>
    <t>STHEAS - Del Monte Fresh  Production, Inc</t>
  </si>
  <si>
    <t>KIWI - Kiwi</t>
  </si>
  <si>
    <t>GRSU - Grapes Sugarone</t>
  </si>
  <si>
    <t>LAND - Los Angeles Direct</t>
  </si>
  <si>
    <t>HAWAII - DMFP Hawaii Inc.</t>
  </si>
  <si>
    <t>KNYA - Kenya</t>
  </si>
  <si>
    <t>FRFD - Frozen Foods</t>
  </si>
  <si>
    <t>OTEU - Other Europe</t>
  </si>
  <si>
    <t>RMHT - Romaine Heart</t>
  </si>
  <si>
    <t>PRD57000 - I/C Difference (Sales/Purchases)</t>
  </si>
  <si>
    <t>PRD67700 - Restructure and Other Charges</t>
  </si>
  <si>
    <t>Restructure and Other Charges</t>
  </si>
  <si>
    <t>HODC - Holland DC</t>
  </si>
  <si>
    <t>SLOV - Slovenia</t>
  </si>
  <si>
    <t>HAMI - Hami Melons</t>
  </si>
  <si>
    <t>HOGL - Cantaloupe Honey Glow</t>
  </si>
  <si>
    <t>PRDL - Perla Dulce Melon</t>
  </si>
  <si>
    <t>CAHJ - Cantaloupe Harper Jumbo</t>
  </si>
  <si>
    <t>BHCP - Banana Highland Consumer Pack</t>
  </si>
  <si>
    <t>NZLN - New Zealand</t>
  </si>
  <si>
    <t>Perla Dulce</t>
  </si>
  <si>
    <t>TARA - Cantaloupe Tara</t>
  </si>
  <si>
    <t>Hami</t>
  </si>
  <si>
    <t>HOGL - Honey Glow Melons</t>
  </si>
  <si>
    <t>Honey Glow</t>
  </si>
  <si>
    <t>Tara</t>
  </si>
  <si>
    <t>1-Jan-25</t>
  </si>
  <si>
    <t>1-Feb-25</t>
  </si>
  <si>
    <t>1-Mar-25</t>
  </si>
  <si>
    <t>1-Apr-25</t>
  </si>
  <si>
    <t>1-May-25</t>
  </si>
  <si>
    <t>1-Jun-25</t>
  </si>
  <si>
    <t>1-Jul-25</t>
  </si>
  <si>
    <t>1-Aug-25</t>
  </si>
  <si>
    <t>1-Sep-25</t>
  </si>
  <si>
    <t>1-Oct-25</t>
  </si>
  <si>
    <t>1-Nov-25</t>
  </si>
  <si>
    <t>1-Dec-25</t>
  </si>
  <si>
    <t>DINO - Dino Melons</t>
  </si>
  <si>
    <t>Dino</t>
  </si>
  <si>
    <t>FOODGA1 - Foods Management GAC</t>
  </si>
  <si>
    <t>POR - Portland</t>
  </si>
  <si>
    <t>TRILOG - Tricont Logistic Inc</t>
  </si>
  <si>
    <t>PHND - Phoenix Direct</t>
  </si>
  <si>
    <t>DBL3 - Direct BOL - Germany</t>
  </si>
  <si>
    <t>DBLF - Direct BOL - France</t>
  </si>
  <si>
    <t>BAN - Banana (Dummy)</t>
  </si>
  <si>
    <t>PPRD - Prepared Pears</t>
  </si>
  <si>
    <t>Premium</t>
  </si>
  <si>
    <t>CACAST - El Cacaste</t>
  </si>
  <si>
    <t>FRP - Fresh Pineapple (Dummy)</t>
  </si>
  <si>
    <t>C:\Users\mhernandez22\OneDrive - Del Monte Fresh Produce\+FPA Info\Dashboards\1. LT vs LT Export Actuals\LT vs LT Export Actuals  - NEW.xlsx</t>
  </si>
  <si>
    <t>PPCD - Prepared Peaches</t>
  </si>
  <si>
    <t>GOLAD - GPA (dummy)</t>
  </si>
  <si>
    <t>2025\2512\260202_b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</si>
</sst>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[$-409]d\-mmm\-yy;@"/>
    <numFmt numFmtId="168" formatCode="_(* #,##0.0_);_(* \(#,##0.0\);_(* &quot;-&quot;??_);_(@_)"/>
    <numFmt numFmtId="169" formatCode="0.000"/>
  </numFmts>
  <fonts count="35" x14ac:knownFonts="1">
    <font>
      <sz val="11"/>
      <color theme="1"/>
      <name val="Calibri"/>
      <family val="2"/>
      <scheme val="minor"/>
    </font>
    <font>
      <b/>
      <i/>
      <sz val="11"/>
      <color theme="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sz val="11"/>
      <color theme="0"/>
      <name val="Arial Nova Cond"/>
      <family val="2"/>
    </font>
    <font>
      <b/>
      <u/>
      <sz val="11"/>
      <color theme="1"/>
      <name val="Arial Nova Cond"/>
      <family val="2"/>
    </font>
    <font>
      <i/>
      <sz val="11"/>
      <color theme="1"/>
      <name val="Arial Nova Cond"/>
      <family val="2"/>
    </font>
    <font>
      <b/>
      <i/>
      <u/>
      <sz val="11"/>
      <color theme="1"/>
      <name val="Arial Nova Cond"/>
      <family val="2"/>
    </font>
    <font>
      <sz val="11"/>
      <color indexed="8"/>
      <name val="Calibri"/>
      <family val="2"/>
    </font>
    <font>
      <sz val="11"/>
      <color theme="0"/>
      <name val="Arial Nova Cond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6"/>
      <color theme="1"/>
      <name val="Arial Nova Cond"/>
      <family val="2"/>
    </font>
    <font>
      <i/>
      <sz val="11"/>
      <color theme="1"/>
      <name val="Arial Narrow"/>
      <family val="2"/>
    </font>
    <font>
      <sz val="11"/>
      <color theme="1"/>
      <name val="Arial Narrow"/>
      <family val="2"/>
    </font>
    <font>
      <b/>
      <i/>
      <sz val="11"/>
      <color theme="0"/>
      <name val="Arial Narrow"/>
      <family val="2"/>
    </font>
    <font>
      <sz val="11"/>
      <color theme="1"/>
      <name val="Aptos Narrow"/>
      <family val="2"/>
    </font>
    <font>
      <i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b/>
      <sz val="12"/>
      <color theme="0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b/>
      <i/>
      <sz val="11"/>
      <color theme="1"/>
      <name val="Aptos Narrow"/>
      <family val="2"/>
    </font>
    <font>
      <sz val="10"/>
      <color theme="1"/>
      <name val="Aptos Narrow"/>
      <family val="2"/>
    </font>
    <font>
      <sz val="11"/>
      <color rgb="FF000000"/>
      <name val="Aptos Narrow"/>
      <family val="2"/>
    </font>
    <font>
      <sz val="11"/>
      <color indexed="8"/>
      <name val="Aptos Narrow"/>
      <family val="2"/>
    </font>
    <font>
      <b/>
      <sz val="14"/>
      <color theme="1"/>
      <name val="Aptos Narrow"/>
      <family val="2"/>
    </font>
    <font>
      <b/>
      <sz val="11"/>
      <color rgb="FFC00000"/>
      <name val="Aptos Narrow"/>
      <family val="2"/>
    </font>
    <font>
      <sz val="11"/>
      <color rgb="FFFF0000"/>
      <name val="Calibri"/>
      <family val="2"/>
      <scheme val="minor"/>
    </font>
    <font>
      <sz val="11"/>
      <color rgb="FFFF0000"/>
      <name val="Aptos Narrow"/>
      <family val="2"/>
    </font>
    <font>
      <sz val="16"/>
      <color theme="1"/>
      <name val="Aptos Narrow"/>
      <family val="2"/>
    </font>
    <font>
      <b/>
      <sz val="16"/>
      <color theme="1"/>
      <name val="Aptos Narrow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542222357860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FAF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medium">
        <color rgb="FFA9D08E"/>
      </top>
      <bottom style="medium">
        <color rgb="FFA9D08E"/>
      </bottom>
      <diagonal/>
    </border>
    <border>
      <left/>
      <right/>
      <top/>
      <bottom style="medium">
        <color rgb="FFA9D08E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/>
  </cellStyleXfs>
  <cellXfs count="25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10" xfId="0" applyFont="1" applyBorder="1"/>
    <xf numFmtId="165" fontId="2" fillId="0" borderId="0" xfId="1" applyNumberFormat="1" applyFont="1"/>
    <xf numFmtId="0" fontId="5" fillId="0" borderId="0" xfId="0" applyFont="1"/>
    <xf numFmtId="0" fontId="2" fillId="0" borderId="0" xfId="0" applyFont="1" applyAlignment="1">
      <alignment horizontal="left" indent="2"/>
    </xf>
    <xf numFmtId="0" fontId="2" fillId="0" borderId="11" xfId="0" applyFont="1" applyBorder="1"/>
    <xf numFmtId="165" fontId="2" fillId="0" borderId="11" xfId="1" applyNumberFormat="1" applyFont="1" applyBorder="1"/>
    <xf numFmtId="0" fontId="2" fillId="0" borderId="0" xfId="0" applyFont="1" applyAlignment="1">
      <alignment horizontal="left" indent="1"/>
    </xf>
    <xf numFmtId="165" fontId="2" fillId="2" borderId="0" xfId="1" applyNumberFormat="1" applyFont="1" applyFill="1"/>
    <xf numFmtId="0" fontId="2" fillId="3" borderId="0" xfId="0" applyFont="1" applyFill="1"/>
    <xf numFmtId="165" fontId="2" fillId="3" borderId="0" xfId="0" applyNumberFormat="1" applyFont="1" applyFill="1"/>
    <xf numFmtId="0" fontId="6" fillId="0" borderId="0" xfId="0" applyFont="1"/>
    <xf numFmtId="165" fontId="6" fillId="0" borderId="0" xfId="1" applyNumberFormat="1" applyFont="1"/>
    <xf numFmtId="165" fontId="2" fillId="0" borderId="11" xfId="0" applyNumberFormat="1" applyFont="1" applyBorder="1"/>
    <xf numFmtId="0" fontId="3" fillId="4" borderId="0" xfId="0" applyFont="1" applyFill="1" applyAlignment="1">
      <alignment horizontal="left"/>
    </xf>
    <xf numFmtId="165" fontId="3" fillId="4" borderId="0" xfId="0" applyNumberFormat="1" applyFont="1" applyFill="1"/>
    <xf numFmtId="165" fontId="2" fillId="0" borderId="0" xfId="0" applyNumberFormat="1" applyFont="1"/>
    <xf numFmtId="0" fontId="7" fillId="0" borderId="0" xfId="0" applyFont="1" applyAlignment="1">
      <alignment horizontal="left" indent="1"/>
    </xf>
    <xf numFmtId="9" fontId="2" fillId="0" borderId="0" xfId="2" applyFont="1"/>
    <xf numFmtId="0" fontId="2" fillId="5" borderId="0" xfId="0" applyFont="1" applyFill="1"/>
    <xf numFmtId="9" fontId="2" fillId="0" borderId="0" xfId="0" applyNumberFormat="1" applyFont="1"/>
    <xf numFmtId="166" fontId="2" fillId="0" borderId="0" xfId="2" applyNumberFormat="1" applyFont="1"/>
    <xf numFmtId="0" fontId="8" fillId="0" borderId="0" xfId="0" applyFont="1"/>
    <xf numFmtId="166" fontId="8" fillId="0" borderId="0" xfId="2" applyNumberFormat="1" applyFont="1" applyFill="1" applyBorder="1" applyAlignment="1" applyProtection="1"/>
    <xf numFmtId="167" fontId="2" fillId="0" borderId="0" xfId="0" applyNumberFormat="1" applyFont="1"/>
    <xf numFmtId="0" fontId="3" fillId="6" borderId="0" xfId="0" applyFont="1" applyFill="1"/>
    <xf numFmtId="165" fontId="2" fillId="3" borderId="0" xfId="1" applyNumberFormat="1" applyFont="1" applyFill="1"/>
    <xf numFmtId="166" fontId="2" fillId="0" borderId="0" xfId="0" applyNumberFormat="1" applyFont="1"/>
    <xf numFmtId="0" fontId="4" fillId="7" borderId="0" xfId="0" applyFont="1" applyFill="1"/>
    <xf numFmtId="165" fontId="4" fillId="7" borderId="0" xfId="1" applyNumberFormat="1" applyFont="1" applyFill="1"/>
    <xf numFmtId="0" fontId="9" fillId="0" borderId="0" xfId="0" applyFont="1"/>
    <xf numFmtId="165" fontId="2" fillId="5" borderId="0" xfId="1" applyNumberFormat="1" applyFont="1" applyFill="1"/>
    <xf numFmtId="165" fontId="3" fillId="6" borderId="0" xfId="1" applyNumberFormat="1" applyFont="1" applyFill="1"/>
    <xf numFmtId="165" fontId="6" fillId="0" borderId="0" xfId="0" applyNumberFormat="1" applyFont="1"/>
    <xf numFmtId="0" fontId="5" fillId="0" borderId="20" xfId="0" applyFont="1" applyBorder="1"/>
    <xf numFmtId="0" fontId="2" fillId="0" borderId="21" xfId="0" applyFont="1" applyBorder="1"/>
    <xf numFmtId="0" fontId="2" fillId="0" borderId="5" xfId="0" quotePrefix="1" applyFont="1" applyBorder="1"/>
    <xf numFmtId="0" fontId="5" fillId="0" borderId="5" xfId="0" applyFont="1" applyBorder="1"/>
    <xf numFmtId="0" fontId="14" fillId="0" borderId="0" xfId="0" applyFont="1"/>
    <xf numFmtId="0" fontId="15" fillId="0" borderId="0" xfId="0" applyFont="1"/>
    <xf numFmtId="0" fontId="15" fillId="23" borderId="0" xfId="0" applyFont="1" applyFill="1"/>
    <xf numFmtId="0" fontId="15" fillId="0" borderId="5" xfId="0" applyFont="1" applyBorder="1"/>
    <xf numFmtId="0" fontId="15" fillId="0" borderId="0" xfId="0" applyFont="1" applyAlignment="1">
      <alignment horizontal="left" indent="3"/>
    </xf>
    <xf numFmtId="0" fontId="14" fillId="0" borderId="0" xfId="0" applyFont="1" applyAlignment="1">
      <alignment horizontal="left" indent="2"/>
    </xf>
    <xf numFmtId="0" fontId="15" fillId="0" borderId="6" xfId="0" applyFont="1" applyBorder="1"/>
    <xf numFmtId="0" fontId="15" fillId="0" borderId="11" xfId="0" applyFont="1" applyBorder="1"/>
    <xf numFmtId="0" fontId="17" fillId="0" borderId="0" xfId="0" applyFont="1"/>
    <xf numFmtId="0" fontId="17" fillId="2" borderId="0" xfId="0" applyFont="1" applyFill="1"/>
    <xf numFmtId="165" fontId="17" fillId="0" borderId="0" xfId="1" applyNumberFormat="1" applyFont="1"/>
    <xf numFmtId="0" fontId="17" fillId="0" borderId="0" xfId="0" applyFont="1" applyAlignment="1">
      <alignment horizontal="center"/>
    </xf>
    <xf numFmtId="0" fontId="18" fillId="0" borderId="0" xfId="0" applyFont="1"/>
    <xf numFmtId="168" fontId="17" fillId="0" borderId="0" xfId="1" applyNumberFormat="1" applyFont="1"/>
    <xf numFmtId="0" fontId="23" fillId="0" borderId="0" xfId="0" applyFont="1"/>
    <xf numFmtId="0" fontId="24" fillId="0" borderId="0" xfId="0" applyFont="1"/>
    <xf numFmtId="0" fontId="19" fillId="0" borderId="0" xfId="0" applyFont="1"/>
    <xf numFmtId="168" fontId="24" fillId="0" borderId="0" xfId="1" applyNumberFormat="1" applyFont="1"/>
    <xf numFmtId="0" fontId="24" fillId="0" borderId="0" xfId="0" applyFont="1" applyAlignment="1">
      <alignment horizontal="center"/>
    </xf>
    <xf numFmtId="0" fontId="25" fillId="0" borderId="0" xfId="0" applyFont="1"/>
    <xf numFmtId="0" fontId="19" fillId="0" borderId="0" xfId="0" applyFont="1" applyAlignment="1">
      <alignment horizontal="center"/>
    </xf>
    <xf numFmtId="0" fontId="20" fillId="9" borderId="10" xfId="0" applyFont="1" applyFill="1" applyBorder="1"/>
    <xf numFmtId="0" fontId="20" fillId="9" borderId="19" xfId="0" applyFont="1" applyFill="1" applyBorder="1"/>
    <xf numFmtId="0" fontId="20" fillId="9" borderId="19" xfId="0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7" fillId="0" borderId="19" xfId="0" applyFont="1" applyBorder="1"/>
    <xf numFmtId="164" fontId="17" fillId="0" borderId="0" xfId="1" applyFont="1" applyFill="1"/>
    <xf numFmtId="164" fontId="17" fillId="0" borderId="0" xfId="1" applyFont="1" applyAlignment="1">
      <alignment horizontal="center"/>
    </xf>
    <xf numFmtId="0" fontId="17" fillId="11" borderId="0" xfId="0" applyFont="1" applyFill="1" applyAlignment="1">
      <alignment horizontal="left" indent="1"/>
    </xf>
    <xf numFmtId="0" fontId="26" fillId="11" borderId="0" xfId="0" applyFont="1" applyFill="1" applyAlignment="1">
      <alignment horizontal="left"/>
    </xf>
    <xf numFmtId="168" fontId="17" fillId="11" borderId="0" xfId="1" applyNumberFormat="1" applyFont="1" applyFill="1" applyAlignment="1">
      <alignment horizontal="left" indent="1"/>
    </xf>
    <xf numFmtId="0" fontId="17" fillId="11" borderId="0" xfId="0" applyFont="1" applyFill="1" applyAlignment="1">
      <alignment horizontal="center"/>
    </xf>
    <xf numFmtId="165" fontId="17" fillId="11" borderId="14" xfId="1" applyNumberFormat="1" applyFont="1" applyFill="1" applyBorder="1"/>
    <xf numFmtId="165" fontId="17" fillId="11" borderId="0" xfId="1" applyNumberFormat="1" applyFont="1" applyFill="1" applyBorder="1"/>
    <xf numFmtId="164" fontId="17" fillId="11" borderId="0" xfId="1" applyFont="1" applyFill="1" applyBorder="1"/>
    <xf numFmtId="164" fontId="17" fillId="11" borderId="15" xfId="0" applyNumberFormat="1" applyFont="1" applyFill="1" applyBorder="1"/>
    <xf numFmtId="0" fontId="17" fillId="11" borderId="0" xfId="0" applyFont="1" applyFill="1"/>
    <xf numFmtId="164" fontId="17" fillId="11" borderId="14" xfId="0" applyNumberFormat="1" applyFont="1" applyFill="1" applyBorder="1"/>
    <xf numFmtId="164" fontId="17" fillId="11" borderId="0" xfId="0" applyNumberFormat="1" applyFont="1" applyFill="1"/>
    <xf numFmtId="0" fontId="17" fillId="16" borderId="0" xfId="0" applyFont="1" applyFill="1"/>
    <xf numFmtId="0" fontId="26" fillId="16" borderId="0" xfId="0" applyFont="1" applyFill="1"/>
    <xf numFmtId="168" fontId="17" fillId="16" borderId="0" xfId="1" applyNumberFormat="1" applyFont="1" applyFill="1"/>
    <xf numFmtId="0" fontId="17" fillId="16" borderId="0" xfId="0" applyFont="1" applyFill="1" applyAlignment="1">
      <alignment horizontal="center"/>
    </xf>
    <xf numFmtId="165" fontId="17" fillId="16" borderId="14" xfId="1" applyNumberFormat="1" applyFont="1" applyFill="1" applyBorder="1"/>
    <xf numFmtId="165" fontId="17" fillId="16" borderId="0" xfId="1" applyNumberFormat="1" applyFont="1" applyFill="1" applyBorder="1"/>
    <xf numFmtId="164" fontId="17" fillId="16" borderId="0" xfId="1" applyFont="1" applyFill="1" applyBorder="1"/>
    <xf numFmtId="164" fontId="17" fillId="16" borderId="15" xfId="0" applyNumberFormat="1" applyFont="1" applyFill="1" applyBorder="1"/>
    <xf numFmtId="164" fontId="17" fillId="16" borderId="14" xfId="0" applyNumberFormat="1" applyFont="1" applyFill="1" applyBorder="1"/>
    <xf numFmtId="164" fontId="17" fillId="16" borderId="0" xfId="0" applyNumberFormat="1" applyFont="1" applyFill="1"/>
    <xf numFmtId="164" fontId="17" fillId="0" borderId="0" xfId="1" applyFont="1" applyBorder="1" applyAlignment="1">
      <alignment horizontal="center"/>
    </xf>
    <xf numFmtId="0" fontId="17" fillId="15" borderId="0" xfId="0" applyFont="1" applyFill="1"/>
    <xf numFmtId="0" fontId="26" fillId="15" borderId="0" xfId="0" applyFont="1" applyFill="1"/>
    <xf numFmtId="168" fontId="17" fillId="15" borderId="0" xfId="1" applyNumberFormat="1" applyFont="1" applyFill="1"/>
    <xf numFmtId="0" fontId="17" fillId="15" borderId="0" xfId="0" applyFont="1" applyFill="1" applyAlignment="1">
      <alignment horizontal="center"/>
    </xf>
    <xf numFmtId="165" fontId="17" fillId="15" borderId="14" xfId="1" applyNumberFormat="1" applyFont="1" applyFill="1" applyBorder="1"/>
    <xf numFmtId="165" fontId="17" fillId="15" borderId="0" xfId="1" applyNumberFormat="1" applyFont="1" applyFill="1" applyBorder="1"/>
    <xf numFmtId="164" fontId="17" fillId="15" borderId="0" xfId="1" applyFont="1" applyFill="1" applyBorder="1"/>
    <xf numFmtId="164" fontId="17" fillId="15" borderId="15" xfId="0" applyNumberFormat="1" applyFont="1" applyFill="1" applyBorder="1"/>
    <xf numFmtId="164" fontId="17" fillId="15" borderId="14" xfId="0" applyNumberFormat="1" applyFont="1" applyFill="1" applyBorder="1"/>
    <xf numFmtId="164" fontId="17" fillId="15" borderId="0" xfId="0" applyNumberFormat="1" applyFont="1" applyFill="1"/>
    <xf numFmtId="0" fontId="17" fillId="17" borderId="0" xfId="0" applyFont="1" applyFill="1" applyAlignment="1">
      <alignment horizontal="left" indent="1"/>
    </xf>
    <xf numFmtId="0" fontId="26" fillId="17" borderId="0" xfId="0" applyFont="1" applyFill="1" applyAlignment="1">
      <alignment horizontal="left"/>
    </xf>
    <xf numFmtId="168" fontId="17" fillId="17" borderId="0" xfId="1" applyNumberFormat="1" applyFont="1" applyFill="1" applyAlignment="1">
      <alignment horizontal="left" indent="1"/>
    </xf>
    <xf numFmtId="0" fontId="17" fillId="17" borderId="0" xfId="0" applyFont="1" applyFill="1" applyAlignment="1">
      <alignment horizontal="center"/>
    </xf>
    <xf numFmtId="165" fontId="17" fillId="17" borderId="14" xfId="1" applyNumberFormat="1" applyFont="1" applyFill="1" applyBorder="1"/>
    <xf numFmtId="165" fontId="17" fillId="17" borderId="0" xfId="1" applyNumberFormat="1" applyFont="1" applyFill="1" applyBorder="1"/>
    <xf numFmtId="164" fontId="17" fillId="17" borderId="0" xfId="1" applyFont="1" applyFill="1" applyBorder="1"/>
    <xf numFmtId="164" fontId="17" fillId="17" borderId="15" xfId="0" applyNumberFormat="1" applyFont="1" applyFill="1" applyBorder="1"/>
    <xf numFmtId="0" fontId="17" fillId="17" borderId="0" xfId="0" applyFont="1" applyFill="1"/>
    <xf numFmtId="164" fontId="17" fillId="17" borderId="14" xfId="0" applyNumberFormat="1" applyFont="1" applyFill="1" applyBorder="1"/>
    <xf numFmtId="164" fontId="17" fillId="17" borderId="0" xfId="0" applyNumberFormat="1" applyFont="1" applyFill="1"/>
    <xf numFmtId="0" fontId="17" fillId="18" borderId="0" xfId="0" applyFont="1" applyFill="1"/>
    <xf numFmtId="0" fontId="26" fillId="18" borderId="0" xfId="0" applyFont="1" applyFill="1"/>
    <xf numFmtId="168" fontId="17" fillId="18" borderId="0" xfId="1" applyNumberFormat="1" applyFont="1" applyFill="1"/>
    <xf numFmtId="0" fontId="17" fillId="18" borderId="0" xfId="0" applyFont="1" applyFill="1" applyAlignment="1">
      <alignment horizontal="center"/>
    </xf>
    <xf numFmtId="165" fontId="17" fillId="18" borderId="14" xfId="1" applyNumberFormat="1" applyFont="1" applyFill="1" applyBorder="1"/>
    <xf numFmtId="165" fontId="17" fillId="18" borderId="0" xfId="1" applyNumberFormat="1" applyFont="1" applyFill="1" applyBorder="1"/>
    <xf numFmtId="164" fontId="17" fillId="18" borderId="0" xfId="1" applyFont="1" applyFill="1" applyBorder="1"/>
    <xf numFmtId="164" fontId="17" fillId="18" borderId="15" xfId="0" applyNumberFormat="1" applyFont="1" applyFill="1" applyBorder="1"/>
    <xf numFmtId="164" fontId="17" fillId="18" borderId="14" xfId="0" applyNumberFormat="1" applyFont="1" applyFill="1" applyBorder="1"/>
    <xf numFmtId="164" fontId="17" fillId="18" borderId="0" xfId="0" applyNumberFormat="1" applyFont="1" applyFill="1"/>
    <xf numFmtId="168" fontId="18" fillId="0" borderId="0" xfId="1" applyNumberFormat="1" applyFont="1"/>
    <xf numFmtId="0" fontId="18" fillId="0" borderId="0" xfId="0" applyFont="1" applyAlignment="1">
      <alignment horizontal="center"/>
    </xf>
    <xf numFmtId="165" fontId="18" fillId="0" borderId="14" xfId="1" applyNumberFormat="1" applyFont="1" applyFill="1" applyBorder="1"/>
    <xf numFmtId="165" fontId="18" fillId="0" borderId="0" xfId="1" applyNumberFormat="1" applyFont="1" applyFill="1" applyBorder="1"/>
    <xf numFmtId="164" fontId="18" fillId="0" borderId="0" xfId="1" applyFont="1" applyFill="1" applyBorder="1"/>
    <xf numFmtId="164" fontId="18" fillId="0" borderId="15" xfId="0" applyNumberFormat="1" applyFont="1" applyBorder="1"/>
    <xf numFmtId="164" fontId="18" fillId="0" borderId="14" xfId="0" applyNumberFormat="1" applyFont="1" applyBorder="1"/>
    <xf numFmtId="164" fontId="18" fillId="0" borderId="0" xfId="0" applyNumberFormat="1" applyFont="1"/>
    <xf numFmtId="0" fontId="21" fillId="14" borderId="0" xfId="0" applyFont="1" applyFill="1"/>
    <xf numFmtId="168" fontId="21" fillId="14" borderId="0" xfId="1" applyNumberFormat="1" applyFont="1" applyFill="1"/>
    <xf numFmtId="0" fontId="21" fillId="14" borderId="0" xfId="0" applyFont="1" applyFill="1" applyAlignment="1">
      <alignment horizontal="center"/>
    </xf>
    <xf numFmtId="165" fontId="21" fillId="14" borderId="14" xfId="1" applyNumberFormat="1" applyFont="1" applyFill="1" applyBorder="1"/>
    <xf numFmtId="165" fontId="21" fillId="14" borderId="0" xfId="1" applyNumberFormat="1" applyFont="1" applyFill="1" applyBorder="1"/>
    <xf numFmtId="164" fontId="21" fillId="14" borderId="0" xfId="1" applyFont="1" applyFill="1" applyBorder="1"/>
    <xf numFmtId="164" fontId="21" fillId="14" borderId="15" xfId="0" applyNumberFormat="1" applyFont="1" applyFill="1" applyBorder="1"/>
    <xf numFmtId="164" fontId="21" fillId="14" borderId="14" xfId="0" applyNumberFormat="1" applyFont="1" applyFill="1" applyBorder="1"/>
    <xf numFmtId="164" fontId="21" fillId="14" borderId="0" xfId="0" applyNumberFormat="1" applyFont="1" applyFill="1"/>
    <xf numFmtId="0" fontId="17" fillId="13" borderId="0" xfId="0" applyFont="1" applyFill="1" applyAlignment="1">
      <alignment horizontal="left" indent="1"/>
    </xf>
    <xf numFmtId="0" fontId="26" fillId="13" borderId="0" xfId="0" applyFont="1" applyFill="1" applyAlignment="1">
      <alignment horizontal="left"/>
    </xf>
    <xf numFmtId="168" fontId="17" fillId="13" borderId="0" xfId="1" applyNumberFormat="1" applyFont="1" applyFill="1" applyAlignment="1">
      <alignment horizontal="left" indent="1"/>
    </xf>
    <xf numFmtId="0" fontId="17" fillId="13" borderId="0" xfId="0" applyFont="1" applyFill="1" applyAlignment="1">
      <alignment horizontal="center"/>
    </xf>
    <xf numFmtId="165" fontId="17" fillId="13" borderId="14" xfId="1" applyNumberFormat="1" applyFont="1" applyFill="1" applyBorder="1"/>
    <xf numFmtId="165" fontId="17" fillId="13" borderId="0" xfId="1" applyNumberFormat="1" applyFont="1" applyFill="1" applyBorder="1"/>
    <xf numFmtId="164" fontId="17" fillId="13" borderId="0" xfId="1" applyFont="1" applyFill="1" applyBorder="1"/>
    <xf numFmtId="164" fontId="17" fillId="13" borderId="15" xfId="0" applyNumberFormat="1" applyFont="1" applyFill="1" applyBorder="1"/>
    <xf numFmtId="0" fontId="17" fillId="13" borderId="0" xfId="0" applyFont="1" applyFill="1"/>
    <xf numFmtId="164" fontId="17" fillId="13" borderId="14" xfId="0" applyNumberFormat="1" applyFont="1" applyFill="1" applyBorder="1"/>
    <xf numFmtId="164" fontId="17" fillId="13" borderId="0" xfId="0" applyNumberFormat="1" applyFont="1" applyFill="1"/>
    <xf numFmtId="0" fontId="17" fillId="21" borderId="0" xfId="0" applyFont="1" applyFill="1"/>
    <xf numFmtId="0" fontId="26" fillId="21" borderId="0" xfId="0" applyFont="1" applyFill="1"/>
    <xf numFmtId="168" fontId="17" fillId="21" borderId="0" xfId="1" applyNumberFormat="1" applyFont="1" applyFill="1"/>
    <xf numFmtId="0" fontId="17" fillId="21" borderId="0" xfId="0" applyFont="1" applyFill="1" applyAlignment="1">
      <alignment horizontal="center"/>
    </xf>
    <xf numFmtId="165" fontId="17" fillId="21" borderId="14" xfId="1" applyNumberFormat="1" applyFont="1" applyFill="1" applyBorder="1"/>
    <xf numFmtId="165" fontId="17" fillId="21" borderId="0" xfId="1" applyNumberFormat="1" applyFont="1" applyFill="1" applyBorder="1"/>
    <xf numFmtId="164" fontId="17" fillId="21" borderId="0" xfId="1" applyFont="1" applyFill="1" applyBorder="1"/>
    <xf numFmtId="164" fontId="17" fillId="21" borderId="15" xfId="0" applyNumberFormat="1" applyFont="1" applyFill="1" applyBorder="1"/>
    <xf numFmtId="164" fontId="17" fillId="21" borderId="14" xfId="0" applyNumberFormat="1" applyFont="1" applyFill="1" applyBorder="1"/>
    <xf numFmtId="164" fontId="17" fillId="21" borderId="0" xfId="0" applyNumberFormat="1" applyFont="1" applyFill="1"/>
    <xf numFmtId="14" fontId="17" fillId="0" borderId="0" xfId="0" applyNumberFormat="1" applyFont="1"/>
    <xf numFmtId="9" fontId="17" fillId="0" borderId="0" xfId="2" applyFont="1"/>
    <xf numFmtId="0" fontId="17" fillId="19" borderId="0" xfId="0" applyFont="1" applyFill="1" applyAlignment="1">
      <alignment horizontal="left" indent="1"/>
    </xf>
    <xf numFmtId="0" fontId="26" fillId="19" borderId="0" xfId="0" applyFont="1" applyFill="1" applyAlignment="1">
      <alignment horizontal="left"/>
    </xf>
    <xf numFmtId="168" fontId="17" fillId="19" borderId="0" xfId="1" applyNumberFormat="1" applyFont="1" applyFill="1" applyAlignment="1">
      <alignment horizontal="left" indent="1"/>
    </xf>
    <xf numFmtId="0" fontId="17" fillId="19" borderId="0" xfId="0" applyFont="1" applyFill="1" applyAlignment="1">
      <alignment horizontal="center"/>
    </xf>
    <xf numFmtId="165" fontId="17" fillId="19" borderId="14" xfId="1" applyNumberFormat="1" applyFont="1" applyFill="1" applyBorder="1"/>
    <xf numFmtId="165" fontId="17" fillId="19" borderId="0" xfId="1" applyNumberFormat="1" applyFont="1" applyFill="1" applyBorder="1"/>
    <xf numFmtId="164" fontId="17" fillId="19" borderId="0" xfId="1" applyFont="1" applyFill="1" applyBorder="1"/>
    <xf numFmtId="164" fontId="17" fillId="19" borderId="15" xfId="0" applyNumberFormat="1" applyFont="1" applyFill="1" applyBorder="1"/>
    <xf numFmtId="14" fontId="17" fillId="19" borderId="0" xfId="0" applyNumberFormat="1" applyFont="1" applyFill="1"/>
    <xf numFmtId="164" fontId="17" fillId="19" borderId="14" xfId="0" applyNumberFormat="1" applyFont="1" applyFill="1" applyBorder="1"/>
    <xf numFmtId="164" fontId="17" fillId="19" borderId="0" xfId="0" applyNumberFormat="1" applyFont="1" applyFill="1"/>
    <xf numFmtId="0" fontId="17" fillId="19" borderId="0" xfId="0" applyFont="1" applyFill="1"/>
    <xf numFmtId="9" fontId="17" fillId="19" borderId="0" xfId="2" applyFont="1" applyFill="1" applyAlignment="1">
      <alignment horizontal="left" indent="1"/>
    </xf>
    <xf numFmtId="9" fontId="26" fillId="19" borderId="0" xfId="2" applyFont="1" applyFill="1" applyAlignment="1">
      <alignment horizontal="left"/>
    </xf>
    <xf numFmtId="9" fontId="17" fillId="19" borderId="0" xfId="2" applyFont="1" applyFill="1" applyAlignment="1">
      <alignment horizontal="center"/>
    </xf>
    <xf numFmtId="0" fontId="17" fillId="20" borderId="0" xfId="0" applyFont="1" applyFill="1" applyAlignment="1">
      <alignment horizontal="left" indent="1"/>
    </xf>
    <xf numFmtId="0" fontId="26" fillId="20" borderId="0" xfId="0" applyFont="1" applyFill="1" applyAlignment="1">
      <alignment horizontal="left"/>
    </xf>
    <xf numFmtId="168" fontId="17" fillId="20" borderId="0" xfId="1" applyNumberFormat="1" applyFont="1" applyFill="1" applyAlignment="1">
      <alignment horizontal="left" indent="1"/>
    </xf>
    <xf numFmtId="0" fontId="17" fillId="20" borderId="0" xfId="0" applyFont="1" applyFill="1" applyAlignment="1">
      <alignment horizontal="center"/>
    </xf>
    <xf numFmtId="165" fontId="17" fillId="20" borderId="14" xfId="1" applyNumberFormat="1" applyFont="1" applyFill="1" applyBorder="1"/>
    <xf numFmtId="165" fontId="17" fillId="20" borderId="0" xfId="1" applyNumberFormat="1" applyFont="1" applyFill="1" applyBorder="1"/>
    <xf numFmtId="164" fontId="17" fillId="20" borderId="0" xfId="1" applyFont="1" applyFill="1" applyBorder="1"/>
    <xf numFmtId="164" fontId="17" fillId="20" borderId="15" xfId="0" applyNumberFormat="1" applyFont="1" applyFill="1" applyBorder="1"/>
    <xf numFmtId="0" fontId="17" fillId="20" borderId="0" xfId="0" applyFont="1" applyFill="1"/>
    <xf numFmtId="164" fontId="17" fillId="20" borderId="14" xfId="0" applyNumberFormat="1" applyFont="1" applyFill="1" applyBorder="1"/>
    <xf numFmtId="164" fontId="17" fillId="20" borderId="0" xfId="0" applyNumberFormat="1" applyFont="1" applyFill="1"/>
    <xf numFmtId="9" fontId="19" fillId="0" borderId="0" xfId="2" applyFont="1" applyFill="1" applyBorder="1"/>
    <xf numFmtId="164" fontId="19" fillId="0" borderId="0" xfId="1" applyFont="1" applyBorder="1" applyAlignment="1">
      <alignment horizontal="center"/>
    </xf>
    <xf numFmtId="0" fontId="20" fillId="14" borderId="0" xfId="0" applyFont="1" applyFill="1"/>
    <xf numFmtId="168" fontId="20" fillId="14" borderId="0" xfId="1" applyNumberFormat="1" applyFont="1" applyFill="1"/>
    <xf numFmtId="0" fontId="20" fillId="14" borderId="0" xfId="0" applyFont="1" applyFill="1" applyAlignment="1">
      <alignment horizontal="center"/>
    </xf>
    <xf numFmtId="165" fontId="20" fillId="14" borderId="16" xfId="1" applyNumberFormat="1" applyFont="1" applyFill="1" applyBorder="1"/>
    <xf numFmtId="165" fontId="20" fillId="14" borderId="27" xfId="1" applyNumberFormat="1" applyFont="1" applyFill="1" applyBorder="1"/>
    <xf numFmtId="164" fontId="20" fillId="14" borderId="27" xfId="1" applyFont="1" applyFill="1" applyBorder="1"/>
    <xf numFmtId="0" fontId="20" fillId="14" borderId="17" xfId="0" applyFont="1" applyFill="1" applyBorder="1" applyAlignment="1">
      <alignment horizontal="center"/>
    </xf>
    <xf numFmtId="0" fontId="20" fillId="14" borderId="16" xfId="0" applyFont="1" applyFill="1" applyBorder="1" applyAlignment="1">
      <alignment horizontal="center"/>
    </xf>
    <xf numFmtId="0" fontId="20" fillId="14" borderId="27" xfId="0" applyFont="1" applyFill="1" applyBorder="1" applyAlignment="1">
      <alignment horizontal="center"/>
    </xf>
    <xf numFmtId="169" fontId="20" fillId="14" borderId="17" xfId="0" applyNumberFormat="1" applyFont="1" applyFill="1" applyBorder="1" applyAlignment="1">
      <alignment horizontal="center"/>
    </xf>
    <xf numFmtId="164" fontId="17" fillId="0" borderId="0" xfId="0" applyNumberFormat="1" applyFont="1"/>
    <xf numFmtId="0" fontId="27" fillId="0" borderId="24" xfId="0" applyFont="1" applyBorder="1" applyAlignment="1">
      <alignment vertical="center"/>
    </xf>
    <xf numFmtId="0" fontId="27" fillId="0" borderId="25" xfId="0" applyFont="1" applyBorder="1" applyAlignment="1">
      <alignment vertical="center"/>
    </xf>
    <xf numFmtId="0" fontId="28" fillId="0" borderId="0" xfId="0" applyFont="1"/>
    <xf numFmtId="0" fontId="27" fillId="0" borderId="0" xfId="0" applyFont="1" applyAlignment="1">
      <alignment vertical="center"/>
    </xf>
    <xf numFmtId="0" fontId="17" fillId="0" borderId="10" xfId="0" applyFont="1" applyBorder="1"/>
    <xf numFmtId="0" fontId="17" fillId="0" borderId="23" xfId="0" applyFont="1" applyBorder="1"/>
    <xf numFmtId="0" fontId="20" fillId="9" borderId="18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0" fillId="9" borderId="10" xfId="0" applyFont="1" applyFill="1" applyBorder="1" applyAlignment="1">
      <alignment horizontal="center"/>
    </xf>
    <xf numFmtId="168" fontId="17" fillId="0" borderId="0" xfId="1" applyNumberFormat="1" applyFont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3" borderId="0" xfId="0" applyFont="1" applyFill="1"/>
    <xf numFmtId="0" fontId="17" fillId="0" borderId="1" xfId="0" applyFont="1" applyBorder="1"/>
    <xf numFmtId="0" fontId="17" fillId="0" borderId="2" xfId="0" applyFont="1" applyBorder="1"/>
    <xf numFmtId="0" fontId="19" fillId="0" borderId="3" xfId="0" applyFont="1" applyBorder="1"/>
    <xf numFmtId="0" fontId="17" fillId="0" borderId="4" xfId="0" applyFont="1" applyBorder="1"/>
    <xf numFmtId="0" fontId="17" fillId="0" borderId="5" xfId="0" applyFont="1" applyBorder="1"/>
    <xf numFmtId="18" fontId="25" fillId="0" borderId="0" xfId="0" applyNumberFormat="1" applyFont="1"/>
    <xf numFmtId="0" fontId="17" fillId="0" borderId="6" xfId="0" applyFont="1" applyBorder="1"/>
    <xf numFmtId="22" fontId="17" fillId="0" borderId="0" xfId="0" applyNumberFormat="1" applyFont="1"/>
    <xf numFmtId="0" fontId="17" fillId="24" borderId="0" xfId="0" applyFont="1" applyFill="1"/>
    <xf numFmtId="0" fontId="19" fillId="24" borderId="0" xfId="0" applyFont="1" applyFill="1"/>
    <xf numFmtId="0" fontId="30" fillId="0" borderId="0" xfId="0" applyFont="1"/>
    <xf numFmtId="0" fontId="32" fillId="0" borderId="0" xfId="0" applyFont="1"/>
    <xf numFmtId="0" fontId="31" fillId="0" borderId="0" xfId="0" applyFont="1"/>
    <xf numFmtId="0" fontId="17" fillId="0" borderId="0" xfId="0" applyFont="1" applyAlignment="1">
      <alignment horizontal="left" indent="1"/>
    </xf>
    <xf numFmtId="0" fontId="16" fillId="22" borderId="28" xfId="0" applyFont="1" applyFill="1" applyBorder="1"/>
    <xf numFmtId="22" fontId="33" fillId="0" borderId="0" xfId="0" applyNumberFormat="1" applyFont="1" applyAlignment="1">
      <alignment horizontal="left" indent="1"/>
    </xf>
    <xf numFmtId="0" fontId="34" fillId="0" borderId="9" xfId="0" applyFont="1" applyBorder="1" applyAlignment="1">
      <alignment horizontal="left" indent="1"/>
    </xf>
    <xf numFmtId="0" fontId="20" fillId="22" borderId="8" xfId="0" applyFont="1" applyFill="1" applyBorder="1" applyAlignment="1">
      <alignment horizontal="left" indent="1"/>
    </xf>
    <xf numFmtId="0" fontId="17" fillId="0" borderId="12" xfId="0" applyFont="1" applyBorder="1" applyAlignment="1">
      <alignment horizontal="left" indent="1"/>
    </xf>
    <xf numFmtId="0" fontId="17" fillId="0" borderId="14" xfId="0" applyFont="1" applyBorder="1" applyAlignment="1">
      <alignment horizontal="left" indent="1"/>
    </xf>
    <xf numFmtId="0" fontId="17" fillId="0" borderId="16" xfId="0" applyFont="1" applyBorder="1" applyAlignment="1">
      <alignment horizontal="left" indent="1"/>
    </xf>
    <xf numFmtId="0" fontId="29" fillId="0" borderId="4" xfId="0" applyFont="1" applyBorder="1" applyAlignment="1">
      <alignment horizontal="left"/>
    </xf>
    <xf numFmtId="0" fontId="29" fillId="0" borderId="4" xfId="0" applyFont="1" applyBorder="1"/>
    <xf numFmtId="0" fontId="29" fillId="0" borderId="7" xfId="0" applyFont="1" applyBorder="1"/>
    <xf numFmtId="0" fontId="34" fillId="22" borderId="13" xfId="0" applyFont="1" applyFill="1" applyBorder="1" applyAlignment="1">
      <alignment horizontal="left" indent="1"/>
    </xf>
    <xf numFmtId="0" fontId="34" fillId="22" borderId="15" xfId="0" applyFont="1" applyFill="1" applyBorder="1" applyAlignment="1">
      <alignment horizontal="left" indent="1"/>
    </xf>
    <xf numFmtId="0" fontId="34" fillId="22" borderId="17" xfId="0" applyFont="1" applyFill="1" applyBorder="1" applyAlignment="1">
      <alignment horizontal="left" indent="1"/>
    </xf>
    <xf numFmtId="0" fontId="17" fillId="22" borderId="0" xfId="0" applyFont="1" applyFill="1" applyAlignment="1">
      <alignment horizontal="left" indent="1"/>
    </xf>
    <xf numFmtId="0" fontId="29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3" fillId="0" borderId="2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20" fillId="12" borderId="0" xfId="0" applyFont="1" applyFill="1" applyAlignment="1">
      <alignment horizontal="center"/>
    </xf>
    <xf numFmtId="0" fontId="19" fillId="10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20" fillId="8" borderId="0" xfId="0" applyFont="1" applyFill="1" applyAlignment="1">
      <alignment horizontal="center"/>
    </xf>
    <xf numFmtId="0" fontId="22" fillId="22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2" fillId="12" borderId="0" xfId="0" applyFont="1" applyFill="1" applyAlignment="1">
      <alignment horizontal="center"/>
    </xf>
  </cellXfs>
  <cellStyles count="4">
    <cellStyle name="Millares" xfId="1" builtinId="3"/>
    <cellStyle name="Normal" xfId="0" builtinId="0"/>
    <cellStyle name="Normal 2" xfId="3" xr:uid="{05614419-09E2-4BA4-BECF-30C34A83B885}"/>
    <cellStyle name="Porcentaje" xfId="2" builtinId="5"/>
  </cellStyles>
  <dxfs count="1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9" tint="-0.49995422223578601"/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name val="Aptos Narrow"/>
        <family val="2"/>
        <scheme val="none"/>
      </font>
      <fill>
        <patternFill patternType="none">
          <bgColor auto="1"/>
        </patternFill>
      </fill>
    </dxf>
    <dxf>
      <font>
        <b val="0"/>
        <strike val="0"/>
        <outline val="0"/>
        <shadow val="0"/>
        <u val="none"/>
        <vertAlign val="baseline"/>
        <name val="Aptos Narrow"/>
        <family val="2"/>
        <scheme val="none"/>
      </font>
      <fill>
        <patternFill patternType="none">
          <bgColor auto="1"/>
        </patternFill>
      </fill>
    </dxf>
    <dxf>
      <font>
        <b val="0"/>
        <strike val="0"/>
        <outline val="0"/>
        <shadow val="0"/>
        <u val="none"/>
        <vertAlign val="baseline"/>
        <name val="Aptos Narrow"/>
        <family val="2"/>
        <scheme val="none"/>
      </font>
      <fill>
        <patternFill patternType="none">
          <bgColor auto="1"/>
        </patternFill>
      </fill>
    </dxf>
    <dxf>
      <font>
        <b val="0"/>
        <strike val="0"/>
        <outline val="0"/>
        <shadow val="0"/>
        <u val="none"/>
        <vertAlign val="baseline"/>
        <name val="Aptos Narrow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sz val="11"/>
        <color theme="1"/>
        <name val="Arial Nova Cond"/>
        <family val="2"/>
      </font>
      <numFmt numFmtId="166" formatCode="0.0%"/>
    </dxf>
    <dxf>
      <font>
        <strike val="0"/>
        <sz val="11"/>
        <color theme="1"/>
        <name val="Arial Nova Cond"/>
        <family val="2"/>
      </font>
      <numFmt numFmtId="166" formatCode="0.0%"/>
    </dxf>
    <dxf>
      <font>
        <strike val="0"/>
        <sz val="11"/>
        <color theme="1"/>
        <name val="Arial Nova Cond"/>
        <family val="2"/>
      </font>
      <numFmt numFmtId="166" formatCode="0.0%"/>
    </dxf>
    <dxf>
      <font>
        <strike val="0"/>
        <sz val="11"/>
        <color theme="1"/>
        <name val="Arial Nova Cond"/>
        <family val="2"/>
      </font>
      <numFmt numFmtId="166" formatCode="0.0%"/>
    </dxf>
    <dxf>
      <font>
        <strike val="0"/>
        <sz val="11"/>
        <color theme="1"/>
        <name val="Arial Nova Cond"/>
        <family val="2"/>
      </font>
      <numFmt numFmtId="166" formatCode="0.0%"/>
    </dxf>
    <dxf>
      <font>
        <strike val="0"/>
        <sz val="11"/>
        <color theme="1"/>
        <name val="Arial Nova Cond"/>
        <family val="2"/>
      </font>
      <numFmt numFmtId="166" formatCode="0.0%"/>
    </dxf>
    <dxf>
      <font>
        <strike val="0"/>
        <sz val="11"/>
        <color theme="1"/>
        <name val="Arial Nova Cond"/>
        <family val="2"/>
      </font>
      <numFmt numFmtId="166" formatCode="0.0%"/>
    </dxf>
    <dxf>
      <font>
        <strike val="0"/>
        <sz val="11"/>
        <color theme="1"/>
        <name val="Arial Nova Cond"/>
        <family val="2"/>
      </font>
      <numFmt numFmtId="166" formatCode="0.0%"/>
    </dxf>
    <dxf>
      <font>
        <strike val="0"/>
        <sz val="11"/>
        <color theme="1"/>
        <name val="Arial Nova Cond"/>
        <family val="2"/>
      </font>
      <numFmt numFmtId="166" formatCode="0.0%"/>
    </dxf>
    <dxf>
      <font>
        <strike val="0"/>
        <sz val="11"/>
        <color theme="1"/>
        <name val="Arial Nova Cond"/>
        <family val="2"/>
      </font>
      <numFmt numFmtId="166" formatCode="0.0%"/>
    </dxf>
    <dxf>
      <font>
        <strike val="0"/>
        <sz val="11"/>
        <color theme="1"/>
        <name val="Arial Nova Cond"/>
        <family val="2"/>
      </font>
      <numFmt numFmtId="166" formatCode="0.0%"/>
    </dxf>
    <dxf>
      <font>
        <strike val="0"/>
        <sz val="11"/>
        <color theme="1"/>
        <name val="Arial Nova Cond"/>
        <family val="2"/>
      </font>
      <numFmt numFmtId="166" formatCode="0.0%"/>
    </dxf>
    <dxf>
      <font>
        <strike val="0"/>
        <sz val="11"/>
        <color theme="1"/>
        <name val="Arial Nova Cond"/>
        <family val="2"/>
      </font>
    </dxf>
    <dxf>
      <font>
        <b val="0"/>
        <i val="0"/>
        <strike val="0"/>
        <u val="none"/>
        <sz val="11"/>
        <color theme="1"/>
        <name val="Arial Nova Cond"/>
        <family val="2"/>
      </font>
      <alignment horizontal="left" vertical="bottom" textRotation="0" wrapText="0" indent="1" shrinkToFit="0" readingOrder="0"/>
    </dxf>
    <dxf>
      <font>
        <strike val="0"/>
        <sz val="11"/>
        <color theme="1"/>
        <name val="Arial Nova Cond"/>
        <family val="2"/>
      </font>
      <alignment horizontal="left" vertical="bottom" textRotation="0" wrapText="0" indent="1" shrinkToFit="0" readingOrder="0"/>
    </dxf>
    <dxf>
      <font>
        <strike val="0"/>
        <sz val="11"/>
        <color theme="1"/>
        <name val="Arial Nova Cond"/>
        <family val="2"/>
      </font>
    </dxf>
    <dxf>
      <font>
        <strike val="0"/>
        <sz val="11"/>
        <color theme="1"/>
        <name val="Arial Nova Cond"/>
        <family val="2"/>
      </font>
    </dxf>
    <dxf>
      <font>
        <b val="0"/>
        <i val="0"/>
        <strike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numFmt numFmtId="170" formatCode="m/d/yyyy\ h:mm"/>
      <alignment horizontal="left" vertical="bottom" textRotation="0" wrapText="0" relative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left" vertical="bottom" textRotation="0" wrapText="0" relative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none"/>
      </font>
      <fill>
        <patternFill patternType="solid">
          <fgColor indexed="64"/>
          <bgColor rgb="FF002060"/>
        </patternFill>
      </fill>
    </dxf>
    <dxf>
      <fill>
        <patternFill>
          <bgColor theme="4" tint="-0.24994659260841701"/>
        </patternFill>
      </fill>
    </dxf>
    <dxf>
      <fill>
        <patternFill>
          <bgColor theme="3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left/>
        <right/>
        <top style="thin">
          <color auto="1"/>
        </top>
        <bottom style="thin">
          <color auto="1"/>
        </bottom>
        <vertical/>
      </border>
    </dxf>
    <dxf>
      <font>
        <b/>
        <i val="0"/>
        <color theme="0"/>
      </font>
      <fill>
        <patternFill>
          <bgColor theme="9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fill>
        <patternFill>
          <bgColor theme="9" tint="0.79998168889431442"/>
        </patternFill>
      </fill>
      <border>
        <left/>
        <right/>
        <top style="thin">
          <color auto="1"/>
        </top>
        <bottom style="thin">
          <color auto="1"/>
        </bottom>
        <vertical/>
      </border>
    </dxf>
    <dxf>
      <fill>
        <patternFill>
          <bgColor theme="9" tint="0.39994506668294322"/>
        </patternFill>
      </fill>
      <border>
        <left/>
        <right/>
        <top style="thin">
          <color auto="1"/>
        </top>
        <bottom style="thin">
          <color auto="1"/>
        </bottom>
        <vertical/>
      </border>
    </dxf>
    <dxf>
      <font>
        <b/>
        <i val="0"/>
        <color theme="0"/>
      </font>
      <fill>
        <patternFill>
          <bgColor theme="9" tint="-0.499984740745262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</border>
    </dxf>
    <dxf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rgb="FF002060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rgb="FF002060"/>
          <bgColor rgb="FF002060"/>
        </patternFill>
      </fill>
      <border>
        <horizontal/>
      </border>
    </dxf>
    <dxf>
      <font>
        <color theme="1"/>
      </font>
      <border>
        <horizontal style="thin">
          <color theme="4" tint="0.79998168889431442"/>
        </horizontal>
      </border>
    </dxf>
    <dxf>
      <font>
        <sz val="11"/>
        <color theme="1"/>
        <name val="Aptos Narrow"/>
        <family val="2"/>
      </font>
      <border>
        <vertical/>
        <horizontal/>
      </border>
    </dxf>
    <dxf>
      <font>
        <color theme="1"/>
        <name val="Aptos Narrow"/>
        <family val="2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color theme="1"/>
        <name val="Aptos Narrow"/>
        <family val="2"/>
        <scheme val="none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1" defaultTableStyle="TableStyleMedium2" defaultPivotStyle="PivotStyleLight16">
    <tableStyle name="Blue Dark" pivot="0" table="0" count="10" xr9:uid="{B58ACD55-C1B6-4D13-8260-CF7C015F3F5C}">
      <tableStyleElement type="wholeTable" dxfId="135"/>
      <tableStyleElement type="headerRow" dxfId="134"/>
    </tableStyle>
    <tableStyle name="Blue Dark Escale" pivot="0" table="0" count="9" xr9:uid="{BB358365-12AC-4EDF-9121-BA43CB694EAA}">
      <tableStyleElement type="wholeTable" dxfId="133"/>
      <tableStyleElement type="headerRow" dxfId="132"/>
    </tableStyle>
    <tableStyle name="Blue Dark Pivot" table="0" count="13" xr9:uid="{D5021752-8111-4C46-9B9E-DBFCA933072A}">
      <tableStyleElement type="wholeTable" dxfId="131"/>
      <tableStyleElement type="headerRow" dxfId="130"/>
      <tableStyleElement type="totalRow" dxfId="129"/>
      <tableStyleElement type="firstRowStripe" dxfId="128"/>
      <tableStyleElement type="firstColumnStripe" dxfId="127"/>
      <tableStyleElement type="firstHeaderCell" dxfId="126"/>
      <tableStyleElement type="firstSubtotalRow" dxfId="125"/>
      <tableStyleElement type="secondSubtotalRow" dxfId="124"/>
      <tableStyleElement type="firstColumnSubheading" dxfId="123"/>
      <tableStyleElement type="firstRowSubheading" dxfId="122"/>
      <tableStyleElement type="secondRowSubheading" dxfId="121"/>
      <tableStyleElement type="pageFieldLabels" dxfId="120"/>
      <tableStyleElement type="pageFieldValues" dxfId="119"/>
    </tableStyle>
    <tableStyle name="Blue Dark Table" pivot="0" count="7" xr9:uid="{BC5743D3-A3AB-4034-AC8B-4E3FF674D6A5}">
      <tableStyleElement type="wholeTable" dxfId="118"/>
      <tableStyleElement type="headerRow" dxfId="117"/>
      <tableStyleElement type="totalRow" dxfId="116"/>
      <tableStyleElement type="firstColumn" dxfId="115"/>
      <tableStyleElement type="lastColumn" dxfId="114"/>
      <tableStyleElement type="firstRowStripe" dxfId="113"/>
      <tableStyleElement type="firstColumnStripe" dxfId="112"/>
    </tableStyle>
    <tableStyle name="PivotTable Style 1" table="0" count="1" xr9:uid="{5C5A0B0A-0DD7-4DE9-A65E-D2B6D5137568}">
      <tableStyleElement type="firstColumnStripe" dxfId="111"/>
    </tableStyle>
    <tableStyle name="PivotTable Style 2" table="0" count="1" xr9:uid="{5F7CE966-DBCA-438D-9157-119644310840}">
      <tableStyleElement type="firstColumnSubheading" dxfId="110"/>
    </tableStyle>
    <tableStyle name="PivotTable Style 3" table="0" count="1" xr9:uid="{EC70C3F4-4F9A-477F-9CA2-DD2D8DAF9260}">
      <tableStyleElement type="firstColumnSubheading" dxfId="109"/>
    </tableStyle>
    <tableStyle name="PivotTable Style 4" table="0" count="1" xr9:uid="{2D58CBD4-19DB-4589-9754-2DB548D65E17}">
      <tableStyleElement type="thirdColumnSubheading" dxfId="108"/>
    </tableStyle>
    <tableStyle name="PivotTable Style 5" table="0" count="12" xr9:uid="{A2969544-86DE-4F12-B279-F1499C1B08E5}">
      <tableStyleElement type="wholeTable" dxfId="107"/>
      <tableStyleElement type="headerRow" dxfId="106"/>
      <tableStyleElement type="firstColumn" dxfId="105"/>
      <tableStyleElement type="firstColumnStripe" dxfId="104"/>
      <tableStyleElement type="secondColumnStripe" dxfId="103"/>
      <tableStyleElement type="firstSubtotalRow" dxfId="102"/>
      <tableStyleElement type="firstColumnSubheading" dxfId="101"/>
      <tableStyleElement type="secondColumnSubheading" dxfId="100"/>
      <tableStyleElement type="thirdColumnSubheading" dxfId="99"/>
      <tableStyleElement type="firstRowSubheading" dxfId="98"/>
      <tableStyleElement type="secondRowSubheading" dxfId="97"/>
      <tableStyleElement type="thirdRowSubheading" dxfId="96"/>
    </tableStyle>
    <tableStyle name="PivotTable Style 6" table="0" count="1" xr9:uid="{170EEAE5-98F7-4A72-ACA4-9923A6B15BCA}">
      <tableStyleElement type="firstColumn" dxfId="95"/>
    </tableStyle>
    <tableStyle name="PivotTable Style 7" table="0" count="1" xr9:uid="{ABF13405-B488-4F6D-936F-AD2C4F079CE4}">
      <tableStyleElement type="firstColumnStripe" dxfId="94"/>
    </tableStyle>
  </tableStyles>
  <colors>
    <mruColors>
      <color rgb="FFFFCCFF"/>
      <color rgb="FFFFCC99"/>
      <color rgb="FFF6FAF4"/>
    </mruColors>
  </colors>
  <extLst>
    <ext xmlns:x14="http://schemas.microsoft.com/office/spreadsheetml/2009/9/main" uri="{46F421CA-312F-682f-3DD2-61675219B42D}">
      <x14:dxfs count="8">
        <dxf>
          <font>
            <color rgb="FF000000"/>
            <name val="Aptos Narrow"/>
            <family val="2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  <name val="Aptos Narrow"/>
            <family val="2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  <name val="Aptos Narrow"/>
            <family val="2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  <name val="Aptos Narrow"/>
            <family val="2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  <name val="Aptos Narrow"/>
            <family val="2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  <name val="Aptos Narrow"/>
            <family val="2"/>
          </font>
          <fill>
            <patternFill patternType="solid">
              <fgColor rgb="FF002060"/>
              <bgColor rgb="FF002060"/>
            </patternFill>
          </fill>
          <border>
            <left style="thin">
              <color rgb="FF002060"/>
            </left>
            <right style="thin">
              <color rgb="FF002060"/>
            </right>
            <top style="thin">
              <color rgb="FF002060"/>
            </top>
            <bottom style="thin">
              <color rgb="FF002060"/>
            </bottom>
            <vertical/>
            <horizontal/>
          </border>
        </dxf>
        <dxf>
          <font>
            <color rgb="FF959595"/>
            <name val="Aptos Narrow"/>
            <family val="2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  <name val="Aptos Narrow"/>
            <family val="2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lue Dark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patternFill patternType="solid">
              <fgColor auto="1"/>
              <bgColor rgb="FF002060"/>
            </patternFill>
          </fill>
          <border>
            <vertical/>
            <horizontal/>
          </border>
        </dxf>
        <dxf>
          <font>
            <sz val="11"/>
            <color rgb="FF002060"/>
            <name val="Aptos Narrow"/>
            <family val="2"/>
          </font>
          <border>
            <left/>
            <right/>
            <top/>
            <bottom/>
            <vertical/>
            <horizontal/>
          </border>
        </dxf>
        <dxf>
          <font>
            <sz val="11"/>
            <color theme="1" tint="0.499984740745262"/>
            <name val="Aptos Narrow"/>
            <family val="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  <name val="Aptos Narrow"/>
            <family val="2"/>
          </font>
          <border>
            <left/>
            <right/>
            <top/>
            <bottom/>
            <vertical/>
            <horizontal/>
          </border>
        </dxf>
        <dxf>
          <font>
            <b val="0"/>
            <i val="0"/>
            <sz val="12"/>
            <color theme="4" tint="-0.249977111117893"/>
            <name val="Aptos Narrow"/>
            <family val="2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Blue Dark Escale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9" Type="http://schemas.openxmlformats.org/officeDocument/2006/relationships/customXml" Target="../customXml/item27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42" Type="http://schemas.openxmlformats.org/officeDocument/2006/relationships/customXml" Target="../customXml/item30.xml"/><Relationship Id="rId47" Type="http://schemas.openxmlformats.org/officeDocument/2006/relationships/customXml" Target="../customXml/item35.xml"/><Relationship Id="rId50" Type="http://schemas.openxmlformats.org/officeDocument/2006/relationships/customXml" Target="../customXml/item38.xml"/><Relationship Id="rId55" Type="http://schemas.openxmlformats.org/officeDocument/2006/relationships/customXml" Target="../customXml/item43.xml"/><Relationship Id="rId63" Type="http://schemas.openxmlformats.org/officeDocument/2006/relationships/customXml" Target="../customXml/item5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9" Type="http://schemas.openxmlformats.org/officeDocument/2006/relationships/customXml" Target="../customXml/item17.xml"/><Relationship Id="rId11" Type="http://schemas.microsoft.com/office/2017/10/relationships/person" Target="persons/person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40" Type="http://schemas.openxmlformats.org/officeDocument/2006/relationships/customXml" Target="../customXml/item28.xml"/><Relationship Id="rId45" Type="http://schemas.openxmlformats.org/officeDocument/2006/relationships/customXml" Target="../customXml/item33.xml"/><Relationship Id="rId53" Type="http://schemas.openxmlformats.org/officeDocument/2006/relationships/customXml" Target="../customXml/item41.xml"/><Relationship Id="rId58" Type="http://schemas.openxmlformats.org/officeDocument/2006/relationships/customXml" Target="../customXml/item46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9.xml"/><Relationship Id="rId19" Type="http://schemas.openxmlformats.org/officeDocument/2006/relationships/customXml" Target="../customXml/item7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43" Type="http://schemas.openxmlformats.org/officeDocument/2006/relationships/customXml" Target="../customXml/item31.xml"/><Relationship Id="rId48" Type="http://schemas.openxmlformats.org/officeDocument/2006/relationships/customXml" Target="../customXml/item36.xml"/><Relationship Id="rId56" Type="http://schemas.openxmlformats.org/officeDocument/2006/relationships/customXml" Target="../customXml/item44.xml"/><Relationship Id="rId8" Type="http://schemas.openxmlformats.org/officeDocument/2006/relationships/styles" Target="styles.xml"/><Relationship Id="rId51" Type="http://schemas.openxmlformats.org/officeDocument/2006/relationships/customXml" Target="../customXml/item39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38" Type="http://schemas.openxmlformats.org/officeDocument/2006/relationships/customXml" Target="../customXml/item26.xml"/><Relationship Id="rId46" Type="http://schemas.openxmlformats.org/officeDocument/2006/relationships/customXml" Target="../customXml/item34.xml"/><Relationship Id="rId59" Type="http://schemas.openxmlformats.org/officeDocument/2006/relationships/customXml" Target="../customXml/item47.xml"/><Relationship Id="rId20" Type="http://schemas.openxmlformats.org/officeDocument/2006/relationships/customXml" Target="../customXml/item8.xml"/><Relationship Id="rId41" Type="http://schemas.openxmlformats.org/officeDocument/2006/relationships/customXml" Target="../customXml/item29.xml"/><Relationship Id="rId54" Type="http://schemas.openxmlformats.org/officeDocument/2006/relationships/customXml" Target="../customXml/item42.xml"/><Relationship Id="rId62" Type="http://schemas.openxmlformats.org/officeDocument/2006/relationships/customXml" Target="../customXml/item5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49" Type="http://schemas.openxmlformats.org/officeDocument/2006/relationships/customXml" Target="../customXml/item37.xml"/><Relationship Id="rId57" Type="http://schemas.openxmlformats.org/officeDocument/2006/relationships/customXml" Target="../customXml/item45.xml"/><Relationship Id="rId10" Type="http://schemas.openxmlformats.org/officeDocument/2006/relationships/sheetMetadata" Target="metadata.xml"/><Relationship Id="rId31" Type="http://schemas.openxmlformats.org/officeDocument/2006/relationships/customXml" Target="../customXml/item19.xml"/><Relationship Id="rId44" Type="http://schemas.openxmlformats.org/officeDocument/2006/relationships/customXml" Target="../customXml/item32.xml"/><Relationship Id="rId52" Type="http://schemas.openxmlformats.org/officeDocument/2006/relationships/customXml" Target="../customXml/item40.xml"/><Relationship Id="rId60" Type="http://schemas.openxmlformats.org/officeDocument/2006/relationships/customXml" Target="../customXml/item4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257175</xdr:colOff>
      <xdr:row>14</xdr:row>
      <xdr:rowOff>57150</xdr:rowOff>
    </xdr:from>
    <xdr:to>
      <xdr:col>50</xdr:col>
      <xdr:colOff>428625</xdr:colOff>
      <xdr:row>31</xdr:row>
      <xdr:rowOff>123825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39CA869-DF80-1491-75DC-E76581721403}"/>
            </a:ext>
          </a:extLst>
        </xdr:cNvPr>
        <xdr:cNvSpPr/>
      </xdr:nvSpPr>
      <xdr:spPr>
        <a:xfrm>
          <a:off x="64255650" y="2590800"/>
          <a:ext cx="1390650" cy="33147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3969149</xdr:colOff>
      <xdr:row>6</xdr:row>
      <xdr:rowOff>66675</xdr:rowOff>
    </xdr:from>
    <xdr:to>
      <xdr:col>2</xdr:col>
      <xdr:colOff>7096939</xdr:colOff>
      <xdr:row>10</xdr:row>
      <xdr:rowOff>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C20E4-1B4E-4897-9FE8-699DDA60E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1599" y="1323975"/>
          <a:ext cx="3127790" cy="771726"/>
        </a:xfrm>
        <a:prstGeom prst="rect">
          <a:avLst/>
        </a:prstGeom>
      </xdr:spPr>
    </xdr:pic>
    <xdr:clientData/>
  </xdr:twoCellAnchor>
  <xdr:twoCellAnchor editAs="oneCell">
    <xdr:from>
      <xdr:col>2</xdr:col>
      <xdr:colOff>3936715</xdr:colOff>
      <xdr:row>10</xdr:row>
      <xdr:rowOff>28575</xdr:rowOff>
    </xdr:from>
    <xdr:to>
      <xdr:col>2</xdr:col>
      <xdr:colOff>5058029</xdr:colOff>
      <xdr:row>14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54C201-2870-4FC9-BB85-C7E502D69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9165" y="2124075"/>
          <a:ext cx="1121314" cy="933450"/>
        </a:xfrm>
        <a:prstGeom prst="rect">
          <a:avLst/>
        </a:prstGeom>
      </xdr:spPr>
    </xdr:pic>
    <xdr:clientData/>
  </xdr:twoCellAnchor>
  <xdr:twoCellAnchor>
    <xdr:from>
      <xdr:col>2</xdr:col>
      <xdr:colOff>2628900</xdr:colOff>
      <xdr:row>7</xdr:row>
      <xdr:rowOff>142875</xdr:rowOff>
    </xdr:from>
    <xdr:to>
      <xdr:col>2</xdr:col>
      <xdr:colOff>3905250</xdr:colOff>
      <xdr:row>9</xdr:row>
      <xdr:rowOff>9525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066838CE-5786-4F45-91B2-32539B9C234A}"/>
            </a:ext>
          </a:extLst>
        </xdr:cNvPr>
        <xdr:cNvSpPr/>
      </xdr:nvSpPr>
      <xdr:spPr>
        <a:xfrm>
          <a:off x="3181350" y="1609725"/>
          <a:ext cx="1276350" cy="285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2</xdr:col>
      <xdr:colOff>2571750</xdr:colOff>
      <xdr:row>10</xdr:row>
      <xdr:rowOff>190500</xdr:rowOff>
    </xdr:from>
    <xdr:to>
      <xdr:col>2</xdr:col>
      <xdr:colOff>3848100</xdr:colOff>
      <xdr:row>12</xdr:row>
      <xdr:rowOff>57150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7B6AA8ED-EBC3-4A1A-9022-D62AEB193AEF}"/>
            </a:ext>
          </a:extLst>
        </xdr:cNvPr>
        <xdr:cNvSpPr/>
      </xdr:nvSpPr>
      <xdr:spPr>
        <a:xfrm>
          <a:off x="3124200" y="2286000"/>
          <a:ext cx="1276350" cy="285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2</xdr:col>
      <xdr:colOff>5010150</xdr:colOff>
      <xdr:row>15</xdr:row>
      <xdr:rowOff>180975</xdr:rowOff>
    </xdr:from>
    <xdr:to>
      <xdr:col>2</xdr:col>
      <xdr:colOff>5438775</xdr:colOff>
      <xdr:row>17</xdr:row>
      <xdr:rowOff>47625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2CCFB88E-2AE3-408F-8215-57CD93AE91FB}"/>
            </a:ext>
          </a:extLst>
        </xdr:cNvPr>
        <xdr:cNvSpPr/>
      </xdr:nvSpPr>
      <xdr:spPr>
        <a:xfrm>
          <a:off x="5562600" y="3324225"/>
          <a:ext cx="428625" cy="285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 editAs="oneCell">
    <xdr:from>
      <xdr:col>2</xdr:col>
      <xdr:colOff>5495925</xdr:colOff>
      <xdr:row>15</xdr:row>
      <xdr:rowOff>41810</xdr:rowOff>
    </xdr:from>
    <xdr:to>
      <xdr:col>3</xdr:col>
      <xdr:colOff>114709</xdr:colOff>
      <xdr:row>18</xdr:row>
      <xdr:rowOff>76305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524E7DA-CBFD-1B40-0B1E-52E53F53B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48375" y="3194585"/>
          <a:ext cx="2553109" cy="6631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FolderLocation" displayName="FolderLocation" ref="C3:C5" totalsRowShown="0" headerRowDxfId="93" dataDxfId="92">
  <autoFilter ref="C3:C5" xr:uid="{00000000-0009-0000-0100-000001000000}"/>
  <tableColumns count="1">
    <tableColumn id="1" xr3:uid="{00000000-0010-0000-0200-000001000000}" name="Folder Location" dataDxfId="91">
      <calculatedColumnFormula>"C:\Users\GIzquierdo1\OneDrive - Del Monte Fresh Produce\"&amp;F10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LastUpdated" displayName="LastUpdated" ref="C13:C14" totalsRowShown="0" headerRowDxfId="90" dataDxfId="89">
  <autoFilter ref="C13:C14" xr:uid="{00000000-0009-0000-0100-000002000000}"/>
  <tableColumns count="1">
    <tableColumn id="1" xr3:uid="{00000000-0010-0000-0300-000001000000}" name="Time last Updated " dataDxfId="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e16" displayName="Table16" ref="B41:P52" totalsRowShown="0" headerRowDxfId="87" dataDxfId="86">
  <autoFilter ref="B41:P52" xr:uid="{00000000-0009-0000-0100-000010000000}"/>
  <tableColumns count="15">
    <tableColumn id="1" xr3:uid="{00000000-0010-0000-0800-000001000000}" name="% to Calc" dataDxfId="85"/>
    <tableColumn id="15" xr3:uid="{00000000-0010-0000-0800-00000F000000}" name="LE Type" dataDxfId="84"/>
    <tableColumn id="2" xr3:uid="{00000000-0010-0000-0800-000002000000}" name="Market" dataDxfId="83"/>
    <tableColumn id="3" xr3:uid="{00000000-0010-0000-0800-000003000000}" name="1-Jan-25" dataDxfId="82"/>
    <tableColumn id="4" xr3:uid="{00000000-0010-0000-0800-000004000000}" name="1-Feb-25" dataDxfId="81"/>
    <tableColumn id="5" xr3:uid="{00000000-0010-0000-0800-000005000000}" name="1-Mar-25" dataDxfId="80"/>
    <tableColumn id="6" xr3:uid="{00000000-0010-0000-0800-000006000000}" name="1-Apr-25" dataDxfId="79"/>
    <tableColumn id="7" xr3:uid="{00000000-0010-0000-0800-000007000000}" name="1-May-25" dataDxfId="78"/>
    <tableColumn id="8" xr3:uid="{00000000-0010-0000-0800-000008000000}" name="1-Jun-25" dataDxfId="77"/>
    <tableColumn id="9" xr3:uid="{00000000-0010-0000-0800-000009000000}" name="1-Jul-25" dataDxfId="76"/>
    <tableColumn id="10" xr3:uid="{00000000-0010-0000-0800-00000A000000}" name="1-Aug-25" dataDxfId="75"/>
    <tableColumn id="11" xr3:uid="{00000000-0010-0000-0800-00000B000000}" name="1-Sep-25" dataDxfId="74"/>
    <tableColumn id="12" xr3:uid="{00000000-0010-0000-0800-00000C000000}" name="1-Oct-25" dataDxfId="73"/>
    <tableColumn id="13" xr3:uid="{00000000-0010-0000-0800-00000D000000}" name="1-Nov-25" dataDxfId="72"/>
    <tableColumn id="14" xr3:uid="{00000000-0010-0000-0800-00000E000000}" name="1-Dec-25" dataDxfId="7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DimLE" displayName="DimLE" ref="B11:C94" totalsRowShown="0" headerRowDxfId="70" dataDxfId="69">
  <autoFilter ref="B11:C94" xr:uid="{00000000-0009-0000-0100-00000D000000}"/>
  <tableColumns count="2">
    <tableColumn id="1" xr3:uid="{00000000-0010-0000-0400-000001000000}" name="Company" dataDxfId="68"/>
    <tableColumn id="2" xr3:uid="{00000000-0010-0000-0400-000002000000}" name="Type LE" dataDxfId="67"/>
  </tableColumns>
  <tableStyleInfo name="Blue Dark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5000000}" name="DimAccount" displayName="DimAccount" ref="E11:Q70" totalsRowShown="0" headerRowDxfId="66" dataDxfId="65">
  <autoFilter ref="E11:Q70" xr:uid="{00000000-0009-0000-0100-00000E000000}"/>
  <tableColumns count="13">
    <tableColumn id="1" xr3:uid="{00000000-0010-0000-0500-000001000000}" name="Account" dataDxfId="64"/>
    <tableColumn id="7" xr3:uid="{00000000-0010-0000-0500-000007000000}" name="Type" dataDxfId="63"/>
    <tableColumn id="8" xr3:uid="{00000000-0010-0000-0500-000008000000}" name="SubType" dataDxfId="62"/>
    <tableColumn id="2" xr3:uid="{00000000-0010-0000-0500-000002000000}" name="CECAB" dataDxfId="61"/>
    <tableColumn id="3" xr3:uid="{00000000-0010-0000-0500-000003000000}" name="DMI" dataDxfId="60"/>
    <tableColumn id="4" xr3:uid="{00000000-0010-0000-0500-000004000000}" name="HQ" dataDxfId="59"/>
    <tableColumn id="5" xr3:uid="{00000000-0010-0000-0500-000005000000}" name="Markets" dataDxfId="58"/>
    <tableColumn id="6" xr3:uid="{00000000-0010-0000-0500-000006000000}" name="Consol" dataDxfId="57"/>
    <tableColumn id="9" xr3:uid="{6E6EB894-E746-4466-B1BD-5194DF12EB18}" name="CECAB1" dataDxfId="56"/>
    <tableColumn id="10" xr3:uid="{288C5B69-F85A-4804-A892-FF549ADE42C5}" name="DMI1" dataDxfId="55"/>
    <tableColumn id="11" xr3:uid="{1210DAFF-29A8-4CCB-876B-0B453D7EABE4}" name="HQ1" dataDxfId="54"/>
    <tableColumn id="12" xr3:uid="{C762027B-B101-4BDD-846B-66772246E3B1}" name="Markets1" dataDxfId="53"/>
    <tableColumn id="13" xr3:uid="{773589ED-8851-4324-B288-F23CAABD64BC}" name="Consol1" dataDxfId="52"/>
  </tableColumns>
  <tableStyleInfo name="Blue Dark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6000000}" name="ConvFactRev" displayName="ConvFactRev" ref="S11:Y387" totalsRowShown="0" headerRowDxfId="51" dataDxfId="50">
  <autoFilter ref="S11:Y387" xr:uid="{00000000-0009-0000-0100-000012000000}"/>
  <tableColumns count="7">
    <tableColumn id="1" xr3:uid="{00000000-0010-0000-0600-000001000000}" name="Market" dataDxfId="49"/>
    <tableColumn id="2" xr3:uid="{00000000-0010-0000-0600-000002000000}" name="Region" dataDxfId="48"/>
    <tableColumn id="3" xr3:uid="{00000000-0010-0000-0600-000003000000}" name="SubRegion" dataDxfId="47"/>
    <tableColumn id="4" xr3:uid="{00000000-0010-0000-0600-000004000000}" name="Source" dataDxfId="46"/>
    <tableColumn id="5" xr3:uid="{00000000-0010-0000-0600-000005000000}" name="ConvFac" dataDxfId="45"/>
    <tableColumn id="7" xr3:uid="{00000000-0010-0000-0600-000007000000}" name="SubFamily" dataDxfId="44"/>
    <tableColumn id="6" xr3:uid="{00000000-0010-0000-0600-000006000000}" name="Comments" dataDxfId="43"/>
  </tableColumns>
  <tableStyleInfo name="Blue Dark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7000000}" name="Table33" displayName="Table33" ref="AA11:AF105" totalsRowShown="0" headerRowDxfId="42" dataDxfId="41">
  <autoFilter ref="AA11:AF105" xr:uid="{00000000-0009-0000-0100-000021000000}"/>
  <tableColumns count="6">
    <tableColumn id="1" xr3:uid="{00000000-0010-0000-0700-000001000000}" name="ProductID" dataDxfId="40"/>
    <tableColumn id="2" xr3:uid="{00000000-0010-0000-0700-000002000000}" name="SubFamily" dataDxfId="39"/>
    <tableColumn id="3" xr3:uid="{00000000-0010-0000-0700-000003000000}" name="Family" dataDxfId="38"/>
    <tableColumn id="4" xr3:uid="{889F0800-6F5E-4A7B-9138-3E9A13C2AA14}" name="SubFamilyIndex" dataDxfId="37"/>
    <tableColumn id="5" xr3:uid="{723A9C4C-3CBF-4CCD-8624-FEF79C17FA07}" name="Familyindex" dataDxfId="36"/>
    <tableColumn id="6" xr3:uid="{7CC18E14-8D86-440A-AF68-CBDF1B98E076}" name="ProductIndex" dataDxfId="35"/>
  </tableColumns>
  <tableStyleInfo name="Blue Dark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D9D0DB-3207-4F11-8D94-403384584C0A}" name="DimAccountReconc." displayName="DimAccountReconc." ref="AR11:AV39" totalsRowShown="0" headerRowDxfId="34" dataDxfId="33">
  <autoFilter ref="AR11:AV39" xr:uid="{4CD9D0DB-3207-4F11-8D94-403384584C0A}"/>
  <tableColumns count="5">
    <tableColumn id="1" xr3:uid="{B03BA3AB-0AA5-4F9B-8B4E-365F4ED81611}" name="AccountFamilyIDRec" dataDxfId="32"/>
    <tableColumn id="2" xr3:uid="{D67989F5-EBA9-4E04-8BCD-9DA5EEEA0AA0}" name="SortIndex" dataDxfId="31"/>
    <tableColumn id="8" xr3:uid="{D1123030-1194-48E3-86C1-B4018131ABAD}" name="SubAcccGroup" dataDxfId="30"/>
    <tableColumn id="3" xr3:uid="{9F01C344-5A01-42B7-A8C9-0929AF3CC647}" name="ColorPowerBITable" dataDxfId="29"/>
    <tableColumn id="5" xr3:uid="{64E53ABC-6634-4841-9FD0-FADAC0CF6E2E}" name="SubTType" dataDxfId="28"/>
  </tableColumns>
  <tableStyleInfo name="Blue Dark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519719-55DE-4856-86AC-EDBB0301503F}" name="DimSource" displayName="DimSource" ref="AH11:AK17" totalsRowShown="0" headerRowDxfId="27" dataDxfId="26">
  <autoFilter ref="AH11:AK17" xr:uid="{26519719-55DE-4856-86AC-EDBB0301503F}"/>
  <tableColumns count="4">
    <tableColumn id="1" xr3:uid="{464419DC-3137-4FA8-A42C-9CC279D1475E}" name="SourceID" dataDxfId="25"/>
    <tableColumn id="2" xr3:uid="{766A8BB0-85F7-4DBD-8029-C14C8E0E1E29}" name="SourceName" dataDxfId="24"/>
    <tableColumn id="3" xr3:uid="{F227A2C5-C519-4D80-BECB-C86F64A279EE}" name="Short" dataDxfId="23"/>
    <tableColumn id="4" xr3:uid="{3BEA7A54-F84E-4AD0-9268-29217E190881}" name="Index" dataDxfId="22"/>
  </tableColumns>
  <tableStyleInfo name="Blue Dark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445B5A-EE30-4D94-84E2-1868B26C1357}" name="AccountMap" displayName="AccountMap" ref="B2:E217" totalsRowShown="0" headerRowDxfId="21">
  <autoFilter ref="B2:E217" xr:uid="{2A445B5A-EE30-4D94-84E2-1868B26C1357}"/>
  <tableColumns count="4">
    <tableColumn id="1" xr3:uid="{EC83EBB0-9B90-4FFE-9FFA-DD54E1E5E82F}" name="Management Planful Accounts" dataDxfId="20"/>
    <tableColumn id="5" xr3:uid="{645869F0-6962-44B1-AED5-314FACCDD44E}" name="LE Group" dataDxfId="19"/>
    <tableColumn id="6" xr3:uid="{881EA632-F585-48C6-9C05-CF4645AD7B99}" name="Cost Group" dataDxfId="18"/>
    <tableColumn id="7" xr3:uid="{23BDCC5F-44E1-4B1C-B3A3-6313930370D6}" name="What's in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drawing" Target="../drawings/drawing1.xml"/><Relationship Id="rId7" Type="http://schemas.openxmlformats.org/officeDocument/2006/relationships/table" Target="../tables/table7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9164-15A2-417B-8A9D-B349DADF339E}">
  <sheetPr codeName="Hoja1">
    <tabColor rgb="FFFFC000"/>
  </sheetPr>
  <dimension ref="B2:F20"/>
  <sheetViews>
    <sheetView showGridLines="0" zoomScale="80" zoomScaleNormal="80" workbookViewId="0">
      <selection activeCell="C6" sqref="C6"/>
    </sheetView>
  </sheetViews>
  <sheetFormatPr baseColWidth="10" defaultColWidth="9.140625" defaultRowHeight="15" x14ac:dyDescent="0.25"/>
  <cols>
    <col min="1" max="1" width="4" style="217" customWidth="1"/>
    <col min="2" max="2" width="39.5703125" style="217" bestFit="1" customWidth="1"/>
    <col min="3" max="3" width="129.42578125" style="217" bestFit="1" customWidth="1"/>
    <col min="4" max="4" width="6.28515625" style="217" customWidth="1"/>
    <col min="5" max="5" width="46.85546875" style="217" customWidth="1"/>
    <col min="6" max="6" width="145.140625" style="217" bestFit="1" customWidth="1"/>
    <col min="7" max="7" width="2.5703125" style="217" customWidth="1"/>
    <col min="8" max="16384" width="9.140625" style="217"/>
  </cols>
  <sheetData>
    <row r="2" spans="2:6" x14ac:dyDescent="0.25">
      <c r="B2" s="51"/>
      <c r="C2" s="62" t="s">
        <v>409</v>
      </c>
      <c r="D2" s="51"/>
      <c r="E2" s="51"/>
      <c r="F2" s="51"/>
    </row>
    <row r="3" spans="2:6" x14ac:dyDescent="0.25">
      <c r="B3" s="51"/>
      <c r="C3" s="245" t="s">
        <v>410</v>
      </c>
      <c r="D3" s="51"/>
      <c r="E3" s="51"/>
      <c r="F3" s="51"/>
    </row>
    <row r="4" spans="2:6" ht="19.5" thickBot="1" x14ac:dyDescent="0.35">
      <c r="B4" s="51"/>
      <c r="C4" s="231" t="str">
        <f ca="1">F11&amp;F10&amp;C5</f>
        <v>C:\Users\cmurillo\OneDrive - Del Monte Fresh Produce\ANALISTA\FINANZAS\Dashboards\1. LT vs LT Export Actuals\2025\2512\260202_b</v>
      </c>
      <c r="D4" s="51"/>
      <c r="E4" s="246" t="s">
        <v>411</v>
      </c>
      <c r="F4" s="246"/>
    </row>
    <row r="5" spans="2:6" ht="21.75" thickBot="1" x14ac:dyDescent="0.4">
      <c r="B5" s="235" t="s">
        <v>412</v>
      </c>
      <c r="C5" s="234" t="s">
        <v>702</v>
      </c>
      <c r="D5" s="51"/>
      <c r="E5" s="218" t="s">
        <v>413</v>
      </c>
      <c r="F5" s="219"/>
    </row>
    <row r="6" spans="2:6" x14ac:dyDescent="0.25">
      <c r="B6" s="231"/>
      <c r="C6" s="51"/>
      <c r="D6" s="51"/>
      <c r="E6" s="220" t="str" cm="1">
        <f t="array" aca="1" ref="E6" ca="1">LEFT(CELL("filename",C2),SEARCH("]",CELL("filename",C2)))</f>
        <v>https://freshdelmonte-my.sharepoint.com/personal/cmurillo_freshdelmonte_com/Documents/ANALISTA/FINANZAS/Dashboards/1. LT vs LT Export Actuals/[2512 Planful LT vs LT Export Actuals v5 - copia.xlsx]</v>
      </c>
      <c r="F6" s="221"/>
    </row>
    <row r="7" spans="2:6" ht="18.75" x14ac:dyDescent="0.3">
      <c r="B7" s="231"/>
      <c r="C7" s="51"/>
      <c r="D7" s="51"/>
      <c r="E7" s="222" t="s">
        <v>583</v>
      </c>
      <c r="F7" s="239">
        <f ca="1">FIND("Dashboards",E6)</f>
        <v>105</v>
      </c>
    </row>
    <row r="8" spans="2:6" ht="18.75" x14ac:dyDescent="0.3">
      <c r="B8" s="231"/>
      <c r="C8" s="51"/>
      <c r="D8" s="51"/>
      <c r="E8" s="222" t="s">
        <v>414</v>
      </c>
      <c r="F8" s="239">
        <f ca="1">FIND("[",E6)</f>
        <v>143</v>
      </c>
    </row>
    <row r="9" spans="2:6" ht="18.75" x14ac:dyDescent="0.3">
      <c r="B9" s="231"/>
      <c r="C9" s="51"/>
      <c r="D9" s="51"/>
      <c r="E9" s="222" t="s">
        <v>415</v>
      </c>
      <c r="F9" s="239">
        <f ca="1">+F8-F7-1</f>
        <v>37</v>
      </c>
    </row>
    <row r="10" spans="2:6" ht="18.75" x14ac:dyDescent="0.3">
      <c r="B10" s="231"/>
      <c r="C10" s="51"/>
      <c r="D10" s="51"/>
      <c r="E10" s="222" t="s">
        <v>416</v>
      </c>
      <c r="F10" s="240" t="str">
        <f ca="1">SUBSTITUTE((SUBSTITUTE(MID(E6,F7,F9+1),"/","\")),"[","")</f>
        <v>Dashboards\1. LT vs LT Export Actuals\</v>
      </c>
    </row>
    <row r="11" spans="2:6" ht="18.75" x14ac:dyDescent="0.3">
      <c r="B11" s="231"/>
      <c r="C11" s="223"/>
      <c r="D11" s="51"/>
      <c r="E11" s="224" t="s">
        <v>417</v>
      </c>
      <c r="F11" s="241" t="str">
        <f>"C:\Users\cmurillo\OneDrive - Del Monte Fresh Produce\ANALISTA\FINANZAS\"</f>
        <v>C:\Users\cmurillo\OneDrive - Del Monte Fresh Produce\ANALISTA\FINANZAS\</v>
      </c>
    </row>
    <row r="12" spans="2:6" x14ac:dyDescent="0.25">
      <c r="B12" s="231"/>
      <c r="C12" s="51"/>
      <c r="D12" s="51"/>
      <c r="E12" s="51"/>
      <c r="F12" s="51"/>
    </row>
    <row r="13" spans="2:6" ht="15.75" thickBot="1" x14ac:dyDescent="0.3">
      <c r="B13" s="231"/>
      <c r="C13" s="245" t="s">
        <v>418</v>
      </c>
      <c r="D13" s="51"/>
      <c r="E13" s="51"/>
      <c r="F13" s="51"/>
    </row>
    <row r="14" spans="2:6" ht="21.75" thickBot="1" x14ac:dyDescent="0.4">
      <c r="B14" s="235" t="s">
        <v>419</v>
      </c>
      <c r="C14" s="233">
        <v>46055.375</v>
      </c>
      <c r="D14" s="51"/>
      <c r="E14" s="62" t="s">
        <v>420</v>
      </c>
      <c r="F14" s="51"/>
    </row>
    <row r="15" spans="2:6" x14ac:dyDescent="0.25">
      <c r="B15" s="231"/>
      <c r="C15" s="225"/>
      <c r="D15" s="51"/>
      <c r="E15" s="51"/>
      <c r="F15" s="51"/>
    </row>
    <row r="16" spans="2:6" ht="15.75" thickBot="1" x14ac:dyDescent="0.3">
      <c r="B16" s="231"/>
      <c r="C16" s="59" t="s">
        <v>421</v>
      </c>
      <c r="D16" s="51"/>
      <c r="E16" s="51"/>
      <c r="F16" s="51" t="s">
        <v>699</v>
      </c>
    </row>
    <row r="17" spans="2:3" ht="21" x14ac:dyDescent="0.35">
      <c r="B17" s="236" t="s">
        <v>549</v>
      </c>
      <c r="C17" s="242" t="e">
        <f>IF(+COUNTIF(#REF!,"ERROR")&gt;0,"ERROR","OK")</f>
        <v>#REF!</v>
      </c>
    </row>
    <row r="18" spans="2:3" ht="21" x14ac:dyDescent="0.35">
      <c r="B18" s="237" t="s">
        <v>550</v>
      </c>
      <c r="C18" s="243" t="e">
        <f>IF(+COUNTIF(#REF!,"ERROR")&gt;0,"ERROR","OK")</f>
        <v>#REF!</v>
      </c>
    </row>
    <row r="19" spans="2:3" ht="21" x14ac:dyDescent="0.35">
      <c r="B19" s="237" t="s">
        <v>551</v>
      </c>
      <c r="C19" s="243" t="e">
        <f>IF(+COUNTIF(#REF!,"ERROR")&gt;0,"ERROR","OK")</f>
        <v>#REF!</v>
      </c>
    </row>
    <row r="20" spans="2:3" ht="21.75" thickBot="1" x14ac:dyDescent="0.4">
      <c r="B20" s="238" t="s">
        <v>552</v>
      </c>
      <c r="C20" s="244" t="e">
        <f>IF(+COUNTIF(#REF!,"ERROR")&gt;0,"ERROR","OK")</f>
        <v>#REF!</v>
      </c>
    </row>
  </sheetData>
  <mergeCells count="1">
    <mergeCell ref="E4:F4"/>
  </mergeCells>
  <conditionalFormatting sqref="C17:C20">
    <cfRule type="cellIs" dxfId="16" priority="1" operator="notEqual">
      <formula>"OK"</formula>
    </cfRule>
    <cfRule type="cellIs" dxfId="15" priority="2" operator="equal">
      <formula>"OK"</formula>
    </cfRule>
  </conditionalFormatting>
  <pageMargins left="0.7" right="0.7" top="0.75" bottom="0.75" header="0.3" footer="0.3"/>
  <pageSetup orientation="portrait" r:id="rId1"/>
  <customProperties>
    <customPr name="isReportSheetChanged" r:id="rId2"/>
  </customProperties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91E3-DBEE-46A9-B826-862C3660654A}">
  <sheetPr codeName="Hoja2">
    <tabColor rgb="FFFFC000"/>
  </sheetPr>
  <dimension ref="A3:AB91"/>
  <sheetViews>
    <sheetView showGridLines="0" tabSelected="1" zoomScale="80" zoomScaleNormal="80" workbookViewId="0">
      <selection activeCell="G16" sqref="G16"/>
    </sheetView>
  </sheetViews>
  <sheetFormatPr baseColWidth="10" defaultColWidth="9.140625" defaultRowHeight="14.25" outlineLevelCol="1" x14ac:dyDescent="0.2"/>
  <cols>
    <col min="1" max="1" width="22.7109375" style="3" customWidth="1"/>
    <col min="2" max="2" width="46.85546875" style="3" customWidth="1"/>
    <col min="3" max="3" width="15.28515625" style="3" customWidth="1" outlineLevel="1"/>
    <col min="4" max="4" width="14.42578125" style="3" customWidth="1" outlineLevel="1"/>
    <col min="5" max="8" width="13.140625" style="3" customWidth="1" outlineLevel="1"/>
    <col min="9" max="9" width="12.85546875" style="3" customWidth="1" outlineLevel="1"/>
    <col min="10" max="12" width="12.85546875" style="3" customWidth="1"/>
    <col min="13" max="13" width="13.5703125" style="3" customWidth="1"/>
    <col min="14" max="14" width="12.85546875" style="3" customWidth="1"/>
    <col min="15" max="15" width="11.85546875" style="3" customWidth="1"/>
    <col min="16" max="16" width="10.85546875" style="3" customWidth="1"/>
    <col min="17" max="17" width="4.85546875" style="3" customWidth="1"/>
    <col min="18" max="18" width="15" style="3" bestFit="1" customWidth="1"/>
    <col min="19" max="19" width="11.85546875" style="3" customWidth="1"/>
    <col min="20" max="20" width="6.140625" style="3" customWidth="1"/>
    <col min="21" max="21" width="126.5703125" style="3" bestFit="1" customWidth="1"/>
    <col min="22" max="24" width="10.85546875" style="3" customWidth="1"/>
    <col min="25" max="25" width="22.7109375" style="3" customWidth="1"/>
    <col min="26" max="26" width="12" style="3" customWidth="1"/>
    <col min="27" max="29" width="12.7109375" style="3" customWidth="1"/>
    <col min="30" max="16384" width="9.140625" style="3"/>
  </cols>
  <sheetData>
    <row r="3" spans="1:21" x14ac:dyDescent="0.2">
      <c r="B3" s="8" t="s">
        <v>469</v>
      </c>
      <c r="C3" s="8"/>
    </row>
    <row r="4" spans="1:21" x14ac:dyDescent="0.2">
      <c r="B4" s="9" t="s">
        <v>470</v>
      </c>
      <c r="C4" s="9"/>
    </row>
    <row r="5" spans="1:21" x14ac:dyDescent="0.2">
      <c r="B5" s="9" t="s">
        <v>471</v>
      </c>
      <c r="C5" s="9"/>
      <c r="R5" s="3">
        <f>R15/R14</f>
        <v>0.40705417602492294</v>
      </c>
    </row>
    <row r="6" spans="1:21" x14ac:dyDescent="0.2">
      <c r="B6" s="9" t="s">
        <v>472</v>
      </c>
      <c r="C6" s="9"/>
    </row>
    <row r="7" spans="1:21" x14ac:dyDescent="0.2">
      <c r="B7" s="9" t="s">
        <v>473</v>
      </c>
      <c r="C7" s="9"/>
    </row>
    <row r="8" spans="1:21" x14ac:dyDescent="0.2">
      <c r="D8" s="1"/>
      <c r="E8" s="1" t="s">
        <v>19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474</v>
      </c>
      <c r="P8" s="1" t="s">
        <v>475</v>
      </c>
      <c r="R8" s="1" t="s">
        <v>476</v>
      </c>
      <c r="S8" s="1" t="s">
        <v>477</v>
      </c>
    </row>
    <row r="9" spans="1:21" x14ac:dyDescent="0.2">
      <c r="B9" s="3" t="s">
        <v>478</v>
      </c>
    </row>
    <row r="10" spans="1:21" x14ac:dyDescent="0.2">
      <c r="B10" s="10" t="s">
        <v>479</v>
      </c>
      <c r="C10" s="10"/>
      <c r="D10" s="11"/>
      <c r="E10" s="11">
        <f t="shared" ref="E10:P10" si="0">SUM(E11:E12)</f>
        <v>141672</v>
      </c>
      <c r="F10" s="11">
        <f t="shared" si="0"/>
        <v>130352</v>
      </c>
      <c r="G10" s="11">
        <f t="shared" si="0"/>
        <v>149740</v>
      </c>
      <c r="H10" s="11">
        <f t="shared" si="0"/>
        <v>136317</v>
      </c>
      <c r="I10" s="11">
        <f t="shared" si="0"/>
        <v>118828</v>
      </c>
      <c r="J10" s="11">
        <f t="shared" si="0"/>
        <v>143276</v>
      </c>
      <c r="K10" s="11">
        <f t="shared" si="0"/>
        <v>117764</v>
      </c>
      <c r="L10" s="11">
        <f t="shared" si="0"/>
        <v>129028</v>
      </c>
      <c r="M10" s="11">
        <f t="shared" si="0"/>
        <v>210932</v>
      </c>
      <c r="N10" s="11">
        <f t="shared" si="0"/>
        <v>156272</v>
      </c>
      <c r="O10" s="11">
        <f t="shared" si="0"/>
        <v>138404</v>
      </c>
      <c r="P10" s="11">
        <f t="shared" si="0"/>
        <v>83504</v>
      </c>
      <c r="R10" s="11">
        <f>+SUM(E10:P10)</f>
        <v>1656089</v>
      </c>
      <c r="S10" s="11"/>
    </row>
    <row r="11" spans="1:21" x14ac:dyDescent="0.2">
      <c r="A11" s="3" t="s">
        <v>480</v>
      </c>
      <c r="B11" s="12" t="s">
        <v>481</v>
      </c>
      <c r="C11" s="12"/>
      <c r="D11" s="13"/>
      <c r="E11" s="13">
        <v>65352.000000000007</v>
      </c>
      <c r="F11" s="13">
        <v>66752</v>
      </c>
      <c r="G11" s="13">
        <v>101140</v>
      </c>
      <c r="H11" s="13">
        <v>90245</v>
      </c>
      <c r="I11" s="13">
        <v>82468</v>
      </c>
      <c r="J11" s="13">
        <v>94916</v>
      </c>
      <c r="K11" s="13">
        <v>76244</v>
      </c>
      <c r="L11" s="13">
        <v>82468</v>
      </c>
      <c r="M11" s="13">
        <v>104252</v>
      </c>
      <c r="N11" s="13">
        <v>80912</v>
      </c>
      <c r="O11" s="13">
        <v>76244</v>
      </c>
      <c r="P11" s="13">
        <v>6224</v>
      </c>
      <c r="R11" s="13">
        <f>+SUM(E11:P11)</f>
        <v>927217</v>
      </c>
      <c r="S11" s="13">
        <f>+R11*13/18</f>
        <v>669656.72222222225</v>
      </c>
      <c r="U11" s="3" t="s">
        <v>555</v>
      </c>
    </row>
    <row r="12" spans="1:21" x14ac:dyDescent="0.2">
      <c r="A12" s="3" t="s">
        <v>480</v>
      </c>
      <c r="B12" s="12" t="s">
        <v>482</v>
      </c>
      <c r="C12" s="12"/>
      <c r="D12" s="13"/>
      <c r="E12" s="13">
        <v>76320</v>
      </c>
      <c r="F12" s="13">
        <v>63600</v>
      </c>
      <c r="G12" s="13">
        <v>48600</v>
      </c>
      <c r="H12" s="13">
        <v>46072</v>
      </c>
      <c r="I12" s="13">
        <v>36360</v>
      </c>
      <c r="J12" s="13">
        <v>48360</v>
      </c>
      <c r="K12" s="13">
        <v>41520</v>
      </c>
      <c r="L12" s="13">
        <v>46560</v>
      </c>
      <c r="M12" s="13">
        <v>106680</v>
      </c>
      <c r="N12" s="13">
        <v>75360</v>
      </c>
      <c r="O12" s="13">
        <v>62160</v>
      </c>
      <c r="P12" s="13">
        <v>77280</v>
      </c>
      <c r="R12" s="13">
        <f>+SUM(E12:P12)</f>
        <v>728872</v>
      </c>
      <c r="S12" s="13">
        <f>+R12</f>
        <v>728872</v>
      </c>
      <c r="U12" s="3" t="s">
        <v>555</v>
      </c>
    </row>
    <row r="14" spans="1:21" x14ac:dyDescent="0.2">
      <c r="B14" s="10" t="s">
        <v>225</v>
      </c>
      <c r="C14" s="10"/>
      <c r="D14" s="11"/>
      <c r="E14" s="11">
        <f t="shared" ref="E14:P14" si="1">SUM(E15:E16)</f>
        <v>236926</v>
      </c>
      <c r="F14" s="11">
        <f t="shared" si="1"/>
        <v>206203</v>
      </c>
      <c r="G14" s="11">
        <f t="shared" si="1"/>
        <v>252624</v>
      </c>
      <c r="H14" s="11">
        <f t="shared" si="1"/>
        <v>197992</v>
      </c>
      <c r="I14" s="11">
        <f t="shared" si="1"/>
        <v>192669</v>
      </c>
      <c r="J14" s="11">
        <f t="shared" si="1"/>
        <v>220441</v>
      </c>
      <c r="K14" s="11">
        <f t="shared" si="1"/>
        <v>135752</v>
      </c>
      <c r="L14" s="11">
        <f t="shared" si="1"/>
        <v>140528</v>
      </c>
      <c r="M14" s="11">
        <f t="shared" si="1"/>
        <v>257620</v>
      </c>
      <c r="N14" s="11">
        <f t="shared" si="1"/>
        <v>204956</v>
      </c>
      <c r="O14" s="11">
        <f t="shared" si="1"/>
        <v>196212</v>
      </c>
      <c r="P14" s="11">
        <f t="shared" si="1"/>
        <v>143671</v>
      </c>
      <c r="R14" s="11">
        <f>+SUM(E14:P14)</f>
        <v>2385594</v>
      </c>
      <c r="S14" s="11"/>
    </row>
    <row r="15" spans="1:21" x14ac:dyDescent="0.2">
      <c r="A15" s="3" t="s">
        <v>480</v>
      </c>
      <c r="B15" s="12" t="s">
        <v>481</v>
      </c>
      <c r="C15" s="12"/>
      <c r="D15" s="13"/>
      <c r="E15" s="13">
        <v>63168</v>
      </c>
      <c r="F15" s="13">
        <v>125564</v>
      </c>
      <c r="G15" s="13">
        <v>127584</v>
      </c>
      <c r="H15" s="13">
        <v>81843</v>
      </c>
      <c r="I15" s="13">
        <f>91487-16648</f>
        <v>74839</v>
      </c>
      <c r="J15" s="13">
        <f>63796+39048</f>
        <v>102844</v>
      </c>
      <c r="K15" s="13">
        <v>34232</v>
      </c>
      <c r="L15" s="13">
        <f>40456+3112</f>
        <v>43568</v>
      </c>
      <c r="M15" s="13">
        <v>99584</v>
      </c>
      <c r="N15" s="13">
        <f>90248+4668</f>
        <v>94916</v>
      </c>
      <c r="O15" s="13">
        <v>88692</v>
      </c>
      <c r="P15" s="13">
        <v>34232</v>
      </c>
      <c r="R15" s="13">
        <f>+SUM(E15:P15)</f>
        <v>971066</v>
      </c>
      <c r="S15" s="13">
        <f>+R15*13/18</f>
        <v>701325.4444444445</v>
      </c>
      <c r="U15" s="3" t="s">
        <v>555</v>
      </c>
    </row>
    <row r="16" spans="1:21" x14ac:dyDescent="0.2">
      <c r="A16" s="3" t="s">
        <v>480</v>
      </c>
      <c r="B16" s="12" t="s">
        <v>482</v>
      </c>
      <c r="C16" s="12"/>
      <c r="D16" s="13"/>
      <c r="E16" s="13">
        <v>173758</v>
      </c>
      <c r="F16" s="13">
        <v>80639</v>
      </c>
      <c r="G16" s="13">
        <v>125040</v>
      </c>
      <c r="H16" s="13">
        <v>116149</v>
      </c>
      <c r="I16" s="13">
        <v>117830</v>
      </c>
      <c r="J16" s="13">
        <v>117597</v>
      </c>
      <c r="K16" s="13">
        <v>101520</v>
      </c>
      <c r="L16" s="13">
        <v>96960</v>
      </c>
      <c r="M16" s="13">
        <v>158036</v>
      </c>
      <c r="N16" s="13">
        <v>110040</v>
      </c>
      <c r="O16" s="13">
        <v>107520</v>
      </c>
      <c r="P16" s="13">
        <v>109439</v>
      </c>
      <c r="R16" s="13">
        <f>+SUM(E16:P16)</f>
        <v>1414528</v>
      </c>
      <c r="S16" s="13">
        <f>+R16</f>
        <v>1414528</v>
      </c>
      <c r="U16" s="3" t="s">
        <v>555</v>
      </c>
    </row>
    <row r="18" spans="1:21" x14ac:dyDescent="0.2">
      <c r="B18" s="14" t="s">
        <v>483</v>
      </c>
      <c r="C18" s="14"/>
      <c r="D18" s="15"/>
      <c r="E18" s="15">
        <f>+E14+E10</f>
        <v>378598</v>
      </c>
      <c r="F18" s="15">
        <f>+F14+F10</f>
        <v>336555</v>
      </c>
      <c r="G18" s="15">
        <f>+G14+G10</f>
        <v>402364</v>
      </c>
      <c r="H18" s="15">
        <f>+H14+H10</f>
        <v>334309</v>
      </c>
      <c r="I18" s="15">
        <f t="shared" ref="I18:P18" si="2">+I14+I10</f>
        <v>311497</v>
      </c>
      <c r="J18" s="15">
        <f t="shared" si="2"/>
        <v>363717</v>
      </c>
      <c r="K18" s="15">
        <f t="shared" si="2"/>
        <v>253516</v>
      </c>
      <c r="L18" s="15">
        <f t="shared" si="2"/>
        <v>269556</v>
      </c>
      <c r="M18" s="15">
        <f t="shared" si="2"/>
        <v>468552</v>
      </c>
      <c r="N18" s="15">
        <f t="shared" si="2"/>
        <v>361228</v>
      </c>
      <c r="O18" s="15">
        <f t="shared" si="2"/>
        <v>334616</v>
      </c>
      <c r="P18" s="15">
        <f t="shared" si="2"/>
        <v>227175</v>
      </c>
      <c r="R18" s="15">
        <f>+SUM(E18:P18)</f>
        <v>4041683</v>
      </c>
      <c r="S18" s="15"/>
    </row>
    <row r="19" spans="1:21" x14ac:dyDescent="0.2">
      <c r="A19" s="3" t="s">
        <v>484</v>
      </c>
      <c r="B19" s="16" t="s">
        <v>485</v>
      </c>
      <c r="C19" s="16"/>
      <c r="D19" s="17"/>
      <c r="E19" s="17">
        <f>+E15+E11+(E16+E12)*41.5/31</f>
        <v>463301.83870967739</v>
      </c>
      <c r="F19" s="17">
        <f>+F15+F11+(F16+F12)*41.5/31</f>
        <v>385410.1451612903</v>
      </c>
      <c r="G19" s="17">
        <f>+G15+G11+(G16+G12)*41.5/31</f>
        <v>461177.54838709679</v>
      </c>
      <c r="H19" s="17">
        <f>+H15+H11+(H16+H12)*41.5/31</f>
        <v>389254.82258064515</v>
      </c>
      <c r="I19" s="17">
        <f t="shared" ref="I19:P19" si="3">+I15+I11+(I16+I12)*41.5/31</f>
        <v>363722.6451612903</v>
      </c>
      <c r="J19" s="17">
        <f t="shared" si="3"/>
        <v>419928.24193548388</v>
      </c>
      <c r="K19" s="17">
        <f t="shared" si="3"/>
        <v>301965.03225806449</v>
      </c>
      <c r="L19" s="17">
        <f t="shared" si="3"/>
        <v>318167.61290322582</v>
      </c>
      <c r="M19" s="17">
        <f t="shared" si="3"/>
        <v>558213.87096774194</v>
      </c>
      <c r="N19" s="17">
        <f t="shared" si="3"/>
        <v>424024.77419354836</v>
      </c>
      <c r="O19" s="17">
        <f t="shared" si="3"/>
        <v>392088.25806451612</v>
      </c>
      <c r="P19" s="17">
        <f t="shared" si="3"/>
        <v>290418.53225806449</v>
      </c>
      <c r="R19" s="17">
        <f>+SUM(E19:P19)</f>
        <v>4767673.3225806449</v>
      </c>
      <c r="S19" s="17"/>
    </row>
    <row r="22" spans="1:21" x14ac:dyDescent="0.2">
      <c r="A22" s="3" t="s">
        <v>486</v>
      </c>
      <c r="B22" s="3" t="s">
        <v>487</v>
      </c>
      <c r="D22" s="13"/>
      <c r="E22" s="13">
        <v>239150</v>
      </c>
      <c r="F22" s="13">
        <v>205419</v>
      </c>
      <c r="G22" s="13">
        <v>251740</v>
      </c>
      <c r="H22" s="13">
        <v>200348</v>
      </c>
      <c r="I22" s="13">
        <v>212161</v>
      </c>
      <c r="J22" s="13">
        <v>201153</v>
      </c>
      <c r="K22" s="13">
        <v>139031</v>
      </c>
      <c r="L22" s="13">
        <v>140685</v>
      </c>
      <c r="M22" s="13">
        <v>266143</v>
      </c>
      <c r="N22" s="13">
        <v>209125</v>
      </c>
      <c r="O22" s="13">
        <v>200379</v>
      </c>
      <c r="P22" s="13">
        <v>147369</v>
      </c>
      <c r="R22" s="13">
        <f t="shared" ref="R22:S24" si="4">+SUM(E22:P22)</f>
        <v>2412703</v>
      </c>
      <c r="S22" s="13">
        <f>+R22*13/18</f>
        <v>1742507.7222222222</v>
      </c>
      <c r="U22" s="3" t="s">
        <v>553</v>
      </c>
    </row>
    <row r="23" spans="1:21" x14ac:dyDescent="0.2">
      <c r="A23" s="3" t="s">
        <v>486</v>
      </c>
      <c r="B23" s="3" t="s">
        <v>478</v>
      </c>
      <c r="D23" s="13"/>
      <c r="E23" s="13">
        <v>141672</v>
      </c>
      <c r="F23" s="13">
        <v>130352</v>
      </c>
      <c r="G23" s="13">
        <v>149740</v>
      </c>
      <c r="H23" s="13">
        <v>136317</v>
      </c>
      <c r="I23" s="13">
        <v>118828</v>
      </c>
      <c r="J23" s="13">
        <v>143276</v>
      </c>
      <c r="K23" s="13">
        <v>117764</v>
      </c>
      <c r="L23" s="13">
        <v>129028</v>
      </c>
      <c r="M23" s="13">
        <v>210932</v>
      </c>
      <c r="N23" s="13">
        <v>156272</v>
      </c>
      <c r="O23" s="13">
        <v>138404</v>
      </c>
      <c r="P23" s="13">
        <v>83504</v>
      </c>
      <c r="R23" s="13">
        <f t="shared" si="4"/>
        <v>1656089</v>
      </c>
      <c r="S23" s="13">
        <f>+R23</f>
        <v>1656089</v>
      </c>
      <c r="U23" s="3" t="s">
        <v>554</v>
      </c>
    </row>
    <row r="24" spans="1:21" x14ac:dyDescent="0.2">
      <c r="B24" s="33" t="s">
        <v>488</v>
      </c>
      <c r="C24" s="33"/>
      <c r="D24" s="34"/>
      <c r="E24" s="34">
        <f>+SUM(E22:E23)</f>
        <v>380822</v>
      </c>
      <c r="F24" s="34">
        <f t="shared" ref="F24:P24" si="5">+SUM(F22:F23)</f>
        <v>335771</v>
      </c>
      <c r="G24" s="34">
        <f t="shared" si="5"/>
        <v>401480</v>
      </c>
      <c r="H24" s="34">
        <f t="shared" si="5"/>
        <v>336665</v>
      </c>
      <c r="I24" s="34">
        <f t="shared" si="5"/>
        <v>330989</v>
      </c>
      <c r="J24" s="34">
        <f t="shared" si="5"/>
        <v>344429</v>
      </c>
      <c r="K24" s="34">
        <f t="shared" si="5"/>
        <v>256795</v>
      </c>
      <c r="L24" s="34">
        <f t="shared" si="5"/>
        <v>269713</v>
      </c>
      <c r="M24" s="34">
        <f t="shared" si="5"/>
        <v>477075</v>
      </c>
      <c r="N24" s="34">
        <f t="shared" si="5"/>
        <v>365397</v>
      </c>
      <c r="O24" s="34">
        <f t="shared" si="5"/>
        <v>338783</v>
      </c>
      <c r="P24" s="34">
        <f t="shared" si="5"/>
        <v>230873</v>
      </c>
      <c r="Q24" s="35"/>
      <c r="R24" s="34">
        <f t="shared" si="4"/>
        <v>4068792</v>
      </c>
      <c r="S24" s="34">
        <f t="shared" si="4"/>
        <v>3687970</v>
      </c>
    </row>
    <row r="25" spans="1:21" x14ac:dyDescent="0.2">
      <c r="B25" s="16" t="s">
        <v>489</v>
      </c>
      <c r="E25" s="38">
        <f t="shared" ref="E25:P25" si="6">+E36-E24</f>
        <v>0</v>
      </c>
      <c r="F25" s="38">
        <f t="shared" si="6"/>
        <v>0</v>
      </c>
      <c r="G25" s="38">
        <f t="shared" si="6"/>
        <v>0</v>
      </c>
      <c r="H25" s="38">
        <f t="shared" si="6"/>
        <v>0</v>
      </c>
      <c r="I25" s="38">
        <f t="shared" si="6"/>
        <v>0</v>
      </c>
      <c r="J25" s="38">
        <f t="shared" si="6"/>
        <v>0</v>
      </c>
      <c r="K25" s="38">
        <f t="shared" si="6"/>
        <v>0</v>
      </c>
      <c r="L25" s="38">
        <f t="shared" si="6"/>
        <v>0</v>
      </c>
      <c r="M25" s="38">
        <f t="shared" si="6"/>
        <v>0</v>
      </c>
      <c r="N25" s="38">
        <f t="shared" si="6"/>
        <v>0</v>
      </c>
      <c r="O25" s="38">
        <f t="shared" si="6"/>
        <v>0</v>
      </c>
      <c r="P25" s="38">
        <f t="shared" si="6"/>
        <v>0</v>
      </c>
      <c r="Q25" s="16"/>
      <c r="R25" s="38">
        <f>+R36-R24</f>
        <v>0</v>
      </c>
      <c r="S25" s="16"/>
    </row>
    <row r="26" spans="1:21" x14ac:dyDescent="0.2"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16"/>
      <c r="R26" s="38"/>
      <c r="S26" s="16"/>
    </row>
    <row r="27" spans="1:21" x14ac:dyDescent="0.2">
      <c r="B27" s="3" t="s">
        <v>490</v>
      </c>
      <c r="U27" s="3" t="s">
        <v>556</v>
      </c>
    </row>
    <row r="28" spans="1:21" x14ac:dyDescent="0.2">
      <c r="B28" s="10" t="s">
        <v>479</v>
      </c>
      <c r="C28" s="10"/>
      <c r="D28" s="18"/>
      <c r="E28" s="18">
        <f t="shared" ref="E28" si="7">SUM(E29:E30)</f>
        <v>141672</v>
      </c>
      <c r="F28" s="18">
        <f t="shared" ref="F28:P28" si="8">SUM(F29:F30)</f>
        <v>130352</v>
      </c>
      <c r="G28" s="18">
        <f t="shared" si="8"/>
        <v>149740</v>
      </c>
      <c r="H28" s="18">
        <f t="shared" si="8"/>
        <v>136317</v>
      </c>
      <c r="I28" s="18">
        <f t="shared" si="8"/>
        <v>118828</v>
      </c>
      <c r="J28" s="18">
        <f t="shared" si="8"/>
        <v>143276</v>
      </c>
      <c r="K28" s="18">
        <f t="shared" si="8"/>
        <v>117764</v>
      </c>
      <c r="L28" s="18">
        <f t="shared" si="8"/>
        <v>129028</v>
      </c>
      <c r="M28" s="18">
        <f t="shared" si="8"/>
        <v>210932</v>
      </c>
      <c r="N28" s="18">
        <f t="shared" si="8"/>
        <v>156272</v>
      </c>
      <c r="O28" s="18">
        <f t="shared" si="8"/>
        <v>138404</v>
      </c>
      <c r="P28" s="18">
        <f t="shared" si="8"/>
        <v>83504</v>
      </c>
      <c r="R28" s="18">
        <f t="shared" ref="R28:S30" si="9">+SUM(E28:P28)</f>
        <v>1656089</v>
      </c>
      <c r="S28" s="18">
        <f t="shared" si="9"/>
        <v>1514417</v>
      </c>
    </row>
    <row r="29" spans="1:21" x14ac:dyDescent="0.2">
      <c r="B29" s="12" t="s">
        <v>481</v>
      </c>
      <c r="C29" s="12"/>
      <c r="D29" s="7"/>
      <c r="E29" s="7">
        <f t="shared" ref="E29:E30" si="10">+E11</f>
        <v>65352.000000000007</v>
      </c>
      <c r="F29" s="7">
        <f t="shared" ref="F29:P29" si="11">+F11</f>
        <v>66752</v>
      </c>
      <c r="G29" s="7">
        <f t="shared" si="11"/>
        <v>101140</v>
      </c>
      <c r="H29" s="7">
        <f t="shared" si="11"/>
        <v>90245</v>
      </c>
      <c r="I29" s="7">
        <f t="shared" si="11"/>
        <v>82468</v>
      </c>
      <c r="J29" s="7">
        <f t="shared" si="11"/>
        <v>94916</v>
      </c>
      <c r="K29" s="7">
        <f t="shared" si="11"/>
        <v>76244</v>
      </c>
      <c r="L29" s="7">
        <f t="shared" si="11"/>
        <v>82468</v>
      </c>
      <c r="M29" s="7">
        <f t="shared" si="11"/>
        <v>104252</v>
      </c>
      <c r="N29" s="7">
        <f t="shared" si="11"/>
        <v>80912</v>
      </c>
      <c r="O29" s="7">
        <f t="shared" si="11"/>
        <v>76244</v>
      </c>
      <c r="P29" s="7">
        <f t="shared" si="11"/>
        <v>6224</v>
      </c>
      <c r="R29" s="7">
        <f t="shared" si="9"/>
        <v>927217</v>
      </c>
      <c r="S29" s="7">
        <f>+R29*13/18</f>
        <v>669656.72222222225</v>
      </c>
    </row>
    <row r="30" spans="1:21" x14ac:dyDescent="0.2">
      <c r="B30" s="12" t="s">
        <v>482</v>
      </c>
      <c r="C30" s="12"/>
      <c r="D30" s="7"/>
      <c r="E30" s="7">
        <f t="shared" si="10"/>
        <v>76320</v>
      </c>
      <c r="F30" s="7">
        <f t="shared" ref="F30:P30" si="12">+F12</f>
        <v>63600</v>
      </c>
      <c r="G30" s="7">
        <f t="shared" si="12"/>
        <v>48600</v>
      </c>
      <c r="H30" s="7">
        <f t="shared" si="12"/>
        <v>46072</v>
      </c>
      <c r="I30" s="7">
        <f t="shared" si="12"/>
        <v>36360</v>
      </c>
      <c r="J30" s="7">
        <f t="shared" si="12"/>
        <v>48360</v>
      </c>
      <c r="K30" s="7">
        <f t="shared" si="12"/>
        <v>41520</v>
      </c>
      <c r="L30" s="7">
        <f t="shared" si="12"/>
        <v>46560</v>
      </c>
      <c r="M30" s="7">
        <f t="shared" si="12"/>
        <v>106680</v>
      </c>
      <c r="N30" s="7">
        <f t="shared" si="12"/>
        <v>75360</v>
      </c>
      <c r="O30" s="7">
        <f t="shared" si="12"/>
        <v>62160</v>
      </c>
      <c r="P30" s="7">
        <f t="shared" si="12"/>
        <v>77280</v>
      </c>
      <c r="R30" s="7">
        <f t="shared" si="9"/>
        <v>728872</v>
      </c>
      <c r="S30" s="7">
        <f>+R30</f>
        <v>728872</v>
      </c>
    </row>
    <row r="32" spans="1:21" x14ac:dyDescent="0.2">
      <c r="B32" s="10" t="s">
        <v>225</v>
      </c>
      <c r="C32" s="10"/>
      <c r="D32" s="18"/>
      <c r="E32" s="18">
        <f t="shared" ref="E32" si="13">SUM(E33:E34)</f>
        <v>239150</v>
      </c>
      <c r="F32" s="18">
        <f t="shared" ref="F32:P32" si="14">SUM(F33:F34)</f>
        <v>205419</v>
      </c>
      <c r="G32" s="18">
        <f t="shared" si="14"/>
        <v>251740</v>
      </c>
      <c r="H32" s="18">
        <f t="shared" si="14"/>
        <v>200348</v>
      </c>
      <c r="I32" s="18">
        <f t="shared" si="14"/>
        <v>212161</v>
      </c>
      <c r="J32" s="18">
        <f t="shared" si="14"/>
        <v>201153</v>
      </c>
      <c r="K32" s="18">
        <f t="shared" si="14"/>
        <v>139031</v>
      </c>
      <c r="L32" s="18">
        <f t="shared" si="14"/>
        <v>140685</v>
      </c>
      <c r="M32" s="18">
        <f t="shared" si="14"/>
        <v>266143</v>
      </c>
      <c r="N32" s="18">
        <f t="shared" si="14"/>
        <v>209125</v>
      </c>
      <c r="O32" s="18">
        <f t="shared" si="14"/>
        <v>200379</v>
      </c>
      <c r="P32" s="18">
        <f t="shared" si="14"/>
        <v>147369</v>
      </c>
      <c r="R32" s="18">
        <f t="shared" ref="R32:S34" si="15">+SUM(E32:P32)</f>
        <v>2412703</v>
      </c>
      <c r="S32" s="18">
        <f t="shared" si="15"/>
        <v>2173553</v>
      </c>
    </row>
    <row r="33" spans="2:28" x14ac:dyDescent="0.2">
      <c r="B33" s="12" t="s">
        <v>481</v>
      </c>
      <c r="C33" s="12"/>
      <c r="D33" s="7"/>
      <c r="E33" s="7">
        <f>+E15/E14*E22</f>
        <v>63760.951520727991</v>
      </c>
      <c r="F33" s="7">
        <f t="shared" ref="F33:P33" si="16">+F15/F14*F22</f>
        <v>125086.59581092419</v>
      </c>
      <c r="G33" s="7">
        <f t="shared" si="16"/>
        <v>127137.5489264678</v>
      </c>
      <c r="H33" s="7">
        <f t="shared" si="16"/>
        <v>82816.888379328448</v>
      </c>
      <c r="I33" s="7">
        <f t="shared" si="16"/>
        <v>82410.336271014021</v>
      </c>
      <c r="J33" s="7">
        <f t="shared" si="16"/>
        <v>93845.424090799803</v>
      </c>
      <c r="K33" s="7">
        <f t="shared" si="16"/>
        <v>35058.851376038656</v>
      </c>
      <c r="L33" s="7">
        <f t="shared" si="16"/>
        <v>43616.674826369119</v>
      </c>
      <c r="M33" s="7">
        <f t="shared" si="16"/>
        <v>102878.59836969178</v>
      </c>
      <c r="N33" s="7">
        <f t="shared" si="16"/>
        <v>96846.681726809664</v>
      </c>
      <c r="O33" s="7">
        <f t="shared" si="16"/>
        <v>90575.572686685831</v>
      </c>
      <c r="P33" s="7">
        <f t="shared" si="16"/>
        <v>35113.109869075874</v>
      </c>
      <c r="R33" s="7">
        <f t="shared" si="15"/>
        <v>979147.23385393317</v>
      </c>
      <c r="S33" s="7">
        <f>+R33*13/18</f>
        <v>707161.89111672947</v>
      </c>
    </row>
    <row r="34" spans="2:28" x14ac:dyDescent="0.2">
      <c r="B34" s="12" t="s">
        <v>482</v>
      </c>
      <c r="C34" s="12"/>
      <c r="D34" s="7"/>
      <c r="E34" s="7">
        <f>+E22*E16/E14</f>
        <v>175389.04847927199</v>
      </c>
      <c r="F34" s="7">
        <f t="shared" ref="F34:P34" si="17">+F22*F16/F14</f>
        <v>80332.404189075809</v>
      </c>
      <c r="G34" s="7">
        <f t="shared" si="17"/>
        <v>124602.45107353221</v>
      </c>
      <c r="H34" s="7">
        <f t="shared" si="17"/>
        <v>117531.11162067154</v>
      </c>
      <c r="I34" s="7">
        <f t="shared" si="17"/>
        <v>129750.66372898598</v>
      </c>
      <c r="J34" s="7">
        <f t="shared" si="17"/>
        <v>107307.5759092002</v>
      </c>
      <c r="K34" s="7">
        <f t="shared" si="17"/>
        <v>103972.14862396134</v>
      </c>
      <c r="L34" s="7">
        <f t="shared" si="17"/>
        <v>97068.325173630874</v>
      </c>
      <c r="M34" s="7">
        <f t="shared" si="17"/>
        <v>163264.40163030822</v>
      </c>
      <c r="N34" s="7">
        <f t="shared" si="17"/>
        <v>112278.31827319034</v>
      </c>
      <c r="O34" s="7">
        <f t="shared" si="17"/>
        <v>109803.42731331417</v>
      </c>
      <c r="P34" s="7">
        <f t="shared" si="17"/>
        <v>112255.89013092412</v>
      </c>
      <c r="R34" s="7">
        <f t="shared" si="15"/>
        <v>1433555.7661460666</v>
      </c>
      <c r="S34" s="7">
        <f>+R34</f>
        <v>1433555.7661460666</v>
      </c>
    </row>
    <row r="35" spans="2:28" x14ac:dyDescent="0.2">
      <c r="B35" s="12"/>
      <c r="C35" s="12"/>
      <c r="Y35" s="247"/>
      <c r="Z35" s="247"/>
      <c r="AA35" s="247"/>
      <c r="AB35" s="247"/>
    </row>
    <row r="36" spans="2:28" x14ac:dyDescent="0.2">
      <c r="B36" s="19" t="s">
        <v>491</v>
      </c>
      <c r="C36" s="19"/>
      <c r="D36" s="20"/>
      <c r="E36" s="20">
        <f>+E32+E28</f>
        <v>380822</v>
      </c>
      <c r="F36" s="20">
        <f t="shared" ref="F36:P36" si="18">+F32+F28</f>
        <v>335771</v>
      </c>
      <c r="G36" s="20">
        <f t="shared" si="18"/>
        <v>401480</v>
      </c>
      <c r="H36" s="20">
        <f t="shared" si="18"/>
        <v>336665</v>
      </c>
      <c r="I36" s="20">
        <f t="shared" si="18"/>
        <v>330989</v>
      </c>
      <c r="J36" s="20">
        <f t="shared" si="18"/>
        <v>344429</v>
      </c>
      <c r="K36" s="20">
        <f t="shared" si="18"/>
        <v>256795</v>
      </c>
      <c r="L36" s="20">
        <f t="shared" si="18"/>
        <v>269713</v>
      </c>
      <c r="M36" s="20">
        <f t="shared" si="18"/>
        <v>477075</v>
      </c>
      <c r="N36" s="20">
        <f t="shared" si="18"/>
        <v>365397</v>
      </c>
      <c r="O36" s="20">
        <f t="shared" si="18"/>
        <v>338783</v>
      </c>
      <c r="P36" s="20">
        <f t="shared" si="18"/>
        <v>230873</v>
      </c>
      <c r="R36" s="20">
        <f t="shared" ref="R36:S38" si="19">+SUM(E36:P36)</f>
        <v>4068792</v>
      </c>
      <c r="S36" s="20">
        <f t="shared" si="19"/>
        <v>3687970</v>
      </c>
    </row>
    <row r="37" spans="2:28" x14ac:dyDescent="0.2">
      <c r="B37" s="12" t="s">
        <v>481</v>
      </c>
      <c r="C37" s="12"/>
      <c r="D37" s="21"/>
      <c r="E37" s="21">
        <f>+E33+E29</f>
        <v>129112.95152072801</v>
      </c>
      <c r="F37" s="21">
        <f t="shared" ref="F37:P37" si="20">+F33+F29</f>
        <v>191838.59581092419</v>
      </c>
      <c r="G37" s="21">
        <f t="shared" si="20"/>
        <v>228277.5489264678</v>
      </c>
      <c r="H37" s="21">
        <f t="shared" si="20"/>
        <v>173061.88837932845</v>
      </c>
      <c r="I37" s="21">
        <f t="shared" si="20"/>
        <v>164878.33627101401</v>
      </c>
      <c r="J37" s="21">
        <f t="shared" si="20"/>
        <v>188761.42409079982</v>
      </c>
      <c r="K37" s="21">
        <f t="shared" si="20"/>
        <v>111302.85137603866</v>
      </c>
      <c r="L37" s="21">
        <f t="shared" si="20"/>
        <v>126084.67482636913</v>
      </c>
      <c r="M37" s="21">
        <f t="shared" si="20"/>
        <v>207130.59836969178</v>
      </c>
      <c r="N37" s="21">
        <f t="shared" si="20"/>
        <v>177758.68172680965</v>
      </c>
      <c r="O37" s="21">
        <f t="shared" si="20"/>
        <v>166819.57268668583</v>
      </c>
      <c r="P37" s="21">
        <f t="shared" si="20"/>
        <v>41337.109869075874</v>
      </c>
      <c r="R37" s="21">
        <f t="shared" si="19"/>
        <v>1906364.2338539334</v>
      </c>
      <c r="S37" s="21">
        <f>+S33+S29</f>
        <v>1376818.6133389517</v>
      </c>
      <c r="Y37" s="25"/>
      <c r="Z37" s="25"/>
      <c r="AA37" s="26"/>
      <c r="AB37" s="23"/>
    </row>
    <row r="38" spans="2:28" x14ac:dyDescent="0.2">
      <c r="B38" s="12" t="s">
        <v>482</v>
      </c>
      <c r="C38" s="12"/>
      <c r="D38" s="21"/>
      <c r="E38" s="21">
        <f>+E34+E30</f>
        <v>251709.04847927199</v>
      </c>
      <c r="F38" s="21">
        <f t="shared" ref="F38:P38" si="21">+F34+F30</f>
        <v>143932.40418907581</v>
      </c>
      <c r="G38" s="21">
        <f t="shared" si="21"/>
        <v>173202.45107353223</v>
      </c>
      <c r="H38" s="21">
        <f t="shared" si="21"/>
        <v>163603.11162067152</v>
      </c>
      <c r="I38" s="21">
        <f t="shared" si="21"/>
        <v>166110.66372898599</v>
      </c>
      <c r="J38" s="21">
        <f t="shared" si="21"/>
        <v>155667.57590920018</v>
      </c>
      <c r="K38" s="21">
        <f t="shared" si="21"/>
        <v>145492.14862396134</v>
      </c>
      <c r="L38" s="21">
        <f t="shared" si="21"/>
        <v>143628.32517363087</v>
      </c>
      <c r="M38" s="21">
        <f t="shared" si="21"/>
        <v>269944.40163030825</v>
      </c>
      <c r="N38" s="21">
        <f t="shared" si="21"/>
        <v>187638.31827319035</v>
      </c>
      <c r="O38" s="21">
        <f t="shared" si="21"/>
        <v>171963.42731331417</v>
      </c>
      <c r="P38" s="21">
        <f t="shared" si="21"/>
        <v>189535.89013092412</v>
      </c>
      <c r="R38" s="21">
        <f t="shared" si="19"/>
        <v>2162427.7661460666</v>
      </c>
      <c r="S38" s="21">
        <f>+S34+S30</f>
        <v>2162427.7661460666</v>
      </c>
    </row>
    <row r="39" spans="2:28" x14ac:dyDescent="0.2">
      <c r="B39" s="12"/>
      <c r="C39" s="12"/>
    </row>
    <row r="40" spans="2:28" x14ac:dyDescent="0.2">
      <c r="B40" s="22" t="s">
        <v>492</v>
      </c>
      <c r="C40" s="22"/>
      <c r="E40" s="29">
        <v>45658</v>
      </c>
      <c r="F40" s="29">
        <f t="shared" ref="F40:P40" si="22">+DATE(2025,MONTH(E40)+1,1)</f>
        <v>45689</v>
      </c>
      <c r="G40" s="29">
        <f t="shared" si="22"/>
        <v>45717</v>
      </c>
      <c r="H40" s="29">
        <f t="shared" si="22"/>
        <v>45748</v>
      </c>
      <c r="I40" s="29">
        <f t="shared" si="22"/>
        <v>45778</v>
      </c>
      <c r="J40" s="29">
        <f t="shared" si="22"/>
        <v>45809</v>
      </c>
      <c r="K40" s="29">
        <f t="shared" si="22"/>
        <v>45839</v>
      </c>
      <c r="L40" s="29">
        <f t="shared" si="22"/>
        <v>45870</v>
      </c>
      <c r="M40" s="29">
        <f t="shared" si="22"/>
        <v>45901</v>
      </c>
      <c r="N40" s="29">
        <f t="shared" si="22"/>
        <v>45931</v>
      </c>
      <c r="O40" s="29">
        <f t="shared" si="22"/>
        <v>45962</v>
      </c>
      <c r="P40" s="29">
        <f t="shared" si="22"/>
        <v>45992</v>
      </c>
      <c r="R40" s="29"/>
      <c r="S40" s="29"/>
      <c r="U40" s="3" t="s">
        <v>557</v>
      </c>
    </row>
    <row r="41" spans="2:28" x14ac:dyDescent="0.2">
      <c r="B41" s="12" t="s">
        <v>493</v>
      </c>
      <c r="C41" s="12" t="s">
        <v>494</v>
      </c>
      <c r="D41" s="3" t="s">
        <v>163</v>
      </c>
      <c r="E41" s="29" t="s">
        <v>674</v>
      </c>
      <c r="F41" s="29" t="s">
        <v>675</v>
      </c>
      <c r="G41" s="29" t="s">
        <v>676</v>
      </c>
      <c r="H41" s="29" t="s">
        <v>677</v>
      </c>
      <c r="I41" s="29" t="s">
        <v>678</v>
      </c>
      <c r="J41" s="29" t="s">
        <v>679</v>
      </c>
      <c r="K41" s="29" t="s">
        <v>680</v>
      </c>
      <c r="L41" s="29" t="s">
        <v>681</v>
      </c>
      <c r="M41" s="29" t="s">
        <v>682</v>
      </c>
      <c r="N41" s="29" t="s">
        <v>683</v>
      </c>
      <c r="O41" s="29" t="s">
        <v>684</v>
      </c>
      <c r="P41" s="29" t="s">
        <v>685</v>
      </c>
      <c r="R41" s="29"/>
      <c r="S41" s="29"/>
    </row>
    <row r="42" spans="2:28" x14ac:dyDescent="0.2">
      <c r="B42" s="12" t="s">
        <v>495</v>
      </c>
      <c r="C42" s="12" t="s">
        <v>4</v>
      </c>
      <c r="D42" s="6" t="s">
        <v>241</v>
      </c>
      <c r="E42" s="26">
        <f>IFERROR(+E28/E23,1)</f>
        <v>1</v>
      </c>
      <c r="F42" s="26">
        <f t="shared" ref="F42:P42" si="23">IFERROR(+F28/F23,1)</f>
        <v>1</v>
      </c>
      <c r="G42" s="26">
        <f t="shared" si="23"/>
        <v>1</v>
      </c>
      <c r="H42" s="26">
        <f t="shared" si="23"/>
        <v>1</v>
      </c>
      <c r="I42" s="26">
        <f t="shared" si="23"/>
        <v>1</v>
      </c>
      <c r="J42" s="26">
        <f t="shared" si="23"/>
        <v>1</v>
      </c>
      <c r="K42" s="26">
        <f t="shared" si="23"/>
        <v>1</v>
      </c>
      <c r="L42" s="26">
        <f t="shared" si="23"/>
        <v>1</v>
      </c>
      <c r="M42" s="26">
        <f t="shared" si="23"/>
        <v>1</v>
      </c>
      <c r="N42" s="26">
        <f t="shared" si="23"/>
        <v>1</v>
      </c>
      <c r="O42" s="26">
        <f t="shared" si="23"/>
        <v>1</v>
      </c>
      <c r="P42" s="26">
        <f t="shared" si="23"/>
        <v>1</v>
      </c>
      <c r="R42" s="26"/>
      <c r="S42" s="26"/>
      <c r="U42" s="3" t="s">
        <v>558</v>
      </c>
    </row>
    <row r="43" spans="2:28" x14ac:dyDescent="0.2">
      <c r="B43" s="12" t="s">
        <v>496</v>
      </c>
      <c r="C43" s="12" t="s">
        <v>4</v>
      </c>
      <c r="D43" s="6" t="s">
        <v>241</v>
      </c>
      <c r="E43" s="26">
        <f>IFERROR(+E29/E28,0.5)</f>
        <v>0.46129086904963584</v>
      </c>
      <c r="F43" s="26">
        <f t="shared" ref="F43:P43" si="24">IFERROR(+F29/F28,0.5)</f>
        <v>0.5120903400024549</v>
      </c>
      <c r="G43" s="26">
        <f t="shared" si="24"/>
        <v>0.67543742486977432</v>
      </c>
      <c r="H43" s="26">
        <f t="shared" si="24"/>
        <v>0.66202307855953402</v>
      </c>
      <c r="I43" s="26">
        <f t="shared" si="24"/>
        <v>0.69401151243814585</v>
      </c>
      <c r="J43" s="26">
        <f t="shared" si="24"/>
        <v>0.66246963901839806</v>
      </c>
      <c r="K43" s="26">
        <f t="shared" si="24"/>
        <v>0.64743045412859612</v>
      </c>
      <c r="L43" s="26">
        <f t="shared" si="24"/>
        <v>0.63914809188703225</v>
      </c>
      <c r="M43" s="26">
        <f t="shared" si="24"/>
        <v>0.49424459067377163</v>
      </c>
      <c r="N43" s="26">
        <f t="shared" si="24"/>
        <v>0.51776389884304286</v>
      </c>
      <c r="O43" s="26">
        <f t="shared" si="24"/>
        <v>0.55088003236900662</v>
      </c>
      <c r="P43" s="26">
        <f t="shared" si="24"/>
        <v>7.4535351599923361E-2</v>
      </c>
      <c r="R43" s="26"/>
      <c r="S43" s="26"/>
    </row>
    <row r="44" spans="2:28" x14ac:dyDescent="0.2">
      <c r="B44" s="12" t="s">
        <v>497</v>
      </c>
      <c r="C44" s="12" t="s">
        <v>4</v>
      </c>
      <c r="D44" s="6" t="s">
        <v>241</v>
      </c>
      <c r="E44" s="26">
        <f>IFERROR(+E30/E28,0.5)</f>
        <v>0.53870913095036421</v>
      </c>
      <c r="F44" s="26">
        <f t="shared" ref="F44:P44" si="25">IFERROR(+F30/F28,0.5)</f>
        <v>0.4879096599975451</v>
      </c>
      <c r="G44" s="26">
        <f t="shared" si="25"/>
        <v>0.32456257513022574</v>
      </c>
      <c r="H44" s="26">
        <f t="shared" si="25"/>
        <v>0.33797692144046598</v>
      </c>
      <c r="I44" s="26">
        <f t="shared" si="25"/>
        <v>0.30598848756185409</v>
      </c>
      <c r="J44" s="26">
        <f t="shared" si="25"/>
        <v>0.33753036098160194</v>
      </c>
      <c r="K44" s="26">
        <f t="shared" si="25"/>
        <v>0.35256954587140382</v>
      </c>
      <c r="L44" s="26">
        <f t="shared" si="25"/>
        <v>0.36085190811296775</v>
      </c>
      <c r="M44" s="26">
        <f t="shared" si="25"/>
        <v>0.50575540932622831</v>
      </c>
      <c r="N44" s="26">
        <f t="shared" si="25"/>
        <v>0.48223610115695709</v>
      </c>
      <c r="O44" s="26">
        <f t="shared" si="25"/>
        <v>0.44911996763099332</v>
      </c>
      <c r="P44" s="26">
        <f t="shared" si="25"/>
        <v>0.92546464840007669</v>
      </c>
      <c r="R44" s="26"/>
      <c r="S44" s="26"/>
    </row>
    <row r="45" spans="2:28" x14ac:dyDescent="0.2">
      <c r="B45" s="12" t="s">
        <v>496</v>
      </c>
      <c r="C45" s="12" t="s">
        <v>225</v>
      </c>
      <c r="D45" s="6" t="s">
        <v>241</v>
      </c>
      <c r="E45" s="32">
        <f>+IFERROR(E33/E32,0.5)</f>
        <v>0.26661489241366504</v>
      </c>
      <c r="F45" s="32">
        <f t="shared" ref="F45:P45" si="26">+IFERROR(F33/F32,0.5)</f>
        <v>0.60893391463751745</v>
      </c>
      <c r="G45" s="32">
        <f t="shared" si="26"/>
        <v>0.50503515105453167</v>
      </c>
      <c r="H45" s="32">
        <f t="shared" si="26"/>
        <v>0.41336518647218062</v>
      </c>
      <c r="I45" s="32">
        <f t="shared" si="26"/>
        <v>0.38843301205694741</v>
      </c>
      <c r="J45" s="32">
        <f t="shared" si="26"/>
        <v>0.46653753158441486</v>
      </c>
      <c r="K45" s="32">
        <f t="shared" si="26"/>
        <v>0.25216571394896575</v>
      </c>
      <c r="L45" s="32">
        <f t="shared" si="26"/>
        <v>0.31003074120459978</v>
      </c>
      <c r="M45" s="32">
        <f t="shared" si="26"/>
        <v>0.38655383898765622</v>
      </c>
      <c r="N45" s="32">
        <f t="shared" si="26"/>
        <v>0.46310427603973542</v>
      </c>
      <c r="O45" s="32">
        <f t="shared" si="26"/>
        <v>0.45202128310195094</v>
      </c>
      <c r="P45" s="32">
        <f t="shared" si="26"/>
        <v>0.23826659520710511</v>
      </c>
    </row>
    <row r="46" spans="2:28" ht="15" x14ac:dyDescent="0.25">
      <c r="B46" s="12" t="s">
        <v>497</v>
      </c>
      <c r="C46" s="12" t="s">
        <v>225</v>
      </c>
      <c r="D46" s="6" t="s">
        <v>241</v>
      </c>
      <c r="E46" s="32">
        <f>+IFERROR(E34/E32,0.5)</f>
        <v>0.73338510758633491</v>
      </c>
      <c r="F46" s="32">
        <f t="shared" ref="F46:P46" si="27">+IFERROR(F34/F32,0.5)</f>
        <v>0.39106608536248255</v>
      </c>
      <c r="G46" s="32">
        <f t="shared" si="27"/>
        <v>0.49496484894546838</v>
      </c>
      <c r="H46" s="32">
        <f t="shared" si="27"/>
        <v>0.58663481352781932</v>
      </c>
      <c r="I46" s="32">
        <f t="shared" si="27"/>
        <v>0.61156698794305253</v>
      </c>
      <c r="J46" s="32">
        <f t="shared" si="27"/>
        <v>0.53346246841558509</v>
      </c>
      <c r="K46" s="32">
        <f t="shared" si="27"/>
        <v>0.7478342860510343</v>
      </c>
      <c r="L46" s="32">
        <f t="shared" si="27"/>
        <v>0.68996925879540016</v>
      </c>
      <c r="M46" s="32">
        <f t="shared" si="27"/>
        <v>0.61344616101234384</v>
      </c>
      <c r="N46" s="32">
        <f t="shared" si="27"/>
        <v>0.53689572396026464</v>
      </c>
      <c r="O46" s="32">
        <f t="shared" si="27"/>
        <v>0.547978716898049</v>
      </c>
      <c r="P46" s="32">
        <f t="shared" si="27"/>
        <v>0.76173340479289486</v>
      </c>
      <c r="U46" s="27"/>
      <c r="V46" s="27"/>
      <c r="W46" s="27"/>
      <c r="X46" s="27"/>
      <c r="Y46" s="27"/>
      <c r="Z46" s="27"/>
      <c r="AA46" s="27"/>
    </row>
    <row r="47" spans="2:28" ht="15" x14ac:dyDescent="0.25">
      <c r="B47" s="12" t="s">
        <v>496</v>
      </c>
      <c r="C47" s="12" t="s">
        <v>247</v>
      </c>
      <c r="D47" s="6" t="s">
        <v>241</v>
      </c>
      <c r="E47" s="32">
        <f>IFERROR(E37/E36,0.5)</f>
        <v>0.33903753333769582</v>
      </c>
      <c r="F47" s="32">
        <f t="shared" ref="F47:P47" si="28">IFERROR(F37/F36,0.5)</f>
        <v>0.57133759559617769</v>
      </c>
      <c r="G47" s="32">
        <f t="shared" si="28"/>
        <v>0.56859008898691787</v>
      </c>
      <c r="H47" s="32">
        <f t="shared" si="28"/>
        <v>0.51404775779878642</v>
      </c>
      <c r="I47" s="32">
        <f t="shared" si="28"/>
        <v>0.49813841629484368</v>
      </c>
      <c r="J47" s="32">
        <f t="shared" si="28"/>
        <v>0.54804161116166128</v>
      </c>
      <c r="K47" s="32">
        <f t="shared" si="28"/>
        <v>0.43343075751489968</v>
      </c>
      <c r="L47" s="32">
        <f t="shared" si="28"/>
        <v>0.46747718807165073</v>
      </c>
      <c r="M47" s="32">
        <f t="shared" si="28"/>
        <v>0.43416778990660121</v>
      </c>
      <c r="N47" s="32">
        <f t="shared" si="28"/>
        <v>0.48648095558203719</v>
      </c>
      <c r="O47" s="32">
        <f t="shared" si="28"/>
        <v>0.49240833420415381</v>
      </c>
      <c r="P47" s="32">
        <f t="shared" si="28"/>
        <v>0.17904696464755893</v>
      </c>
      <c r="U47" s="27"/>
      <c r="V47" s="27"/>
      <c r="W47" s="28"/>
      <c r="X47" s="28"/>
      <c r="Y47" s="28"/>
      <c r="Z47" s="28"/>
      <c r="AA47" s="28"/>
      <c r="AB47" s="26"/>
    </row>
    <row r="48" spans="2:28" ht="15" x14ac:dyDescent="0.25">
      <c r="B48" s="12" t="s">
        <v>497</v>
      </c>
      <c r="C48" s="12" t="s">
        <v>247</v>
      </c>
      <c r="D48" s="6" t="s">
        <v>241</v>
      </c>
      <c r="E48" s="32">
        <f>IFERROR(E38/E36,0.5)</f>
        <v>0.66096246666230418</v>
      </c>
      <c r="F48" s="32">
        <f t="shared" ref="F48:P48" si="29">IFERROR(F38/F36,0.5)</f>
        <v>0.42866240440382225</v>
      </c>
      <c r="G48" s="32">
        <f t="shared" si="29"/>
        <v>0.43140991101308218</v>
      </c>
      <c r="H48" s="32">
        <f t="shared" si="29"/>
        <v>0.48595224220121347</v>
      </c>
      <c r="I48" s="32">
        <f t="shared" si="29"/>
        <v>0.50186158370515632</v>
      </c>
      <c r="J48" s="32">
        <f t="shared" si="29"/>
        <v>0.45195838883833878</v>
      </c>
      <c r="K48" s="32">
        <f t="shared" si="29"/>
        <v>0.56656924248510032</v>
      </c>
      <c r="L48" s="32">
        <f t="shared" si="29"/>
        <v>0.53252281192834927</v>
      </c>
      <c r="M48" s="32">
        <f t="shared" si="29"/>
        <v>0.56583221009339879</v>
      </c>
      <c r="N48" s="32">
        <f t="shared" si="29"/>
        <v>0.51351904441796281</v>
      </c>
      <c r="O48" s="32">
        <f t="shared" si="29"/>
        <v>0.50759166579584625</v>
      </c>
      <c r="P48" s="32">
        <f t="shared" si="29"/>
        <v>0.82095303535244102</v>
      </c>
      <c r="U48" s="27"/>
      <c r="V48" s="27"/>
      <c r="W48" s="28"/>
      <c r="X48" s="28"/>
      <c r="Y48" s="28"/>
      <c r="Z48" s="28"/>
      <c r="AA48" s="28"/>
      <c r="AB48" s="26"/>
    </row>
    <row r="49" spans="1:19" x14ac:dyDescent="0.2">
      <c r="B49" s="12" t="s">
        <v>496</v>
      </c>
      <c r="C49" s="12" t="s">
        <v>223</v>
      </c>
      <c r="D49" s="6" t="s">
        <v>241</v>
      </c>
      <c r="E49" s="32">
        <f>+E47</f>
        <v>0.33903753333769582</v>
      </c>
      <c r="F49" s="32">
        <f t="shared" ref="F49:P49" si="30">+F47</f>
        <v>0.57133759559617769</v>
      </c>
      <c r="G49" s="32">
        <f t="shared" si="30"/>
        <v>0.56859008898691787</v>
      </c>
      <c r="H49" s="32">
        <f t="shared" si="30"/>
        <v>0.51404775779878642</v>
      </c>
      <c r="I49" s="32">
        <f t="shared" si="30"/>
        <v>0.49813841629484368</v>
      </c>
      <c r="J49" s="32">
        <f t="shared" si="30"/>
        <v>0.54804161116166128</v>
      </c>
      <c r="K49" s="32">
        <f t="shared" si="30"/>
        <v>0.43343075751489968</v>
      </c>
      <c r="L49" s="32">
        <f t="shared" si="30"/>
        <v>0.46747718807165073</v>
      </c>
      <c r="M49" s="32">
        <f t="shared" si="30"/>
        <v>0.43416778990660121</v>
      </c>
      <c r="N49" s="32">
        <f t="shared" si="30"/>
        <v>0.48648095558203719</v>
      </c>
      <c r="O49" s="32">
        <f t="shared" si="30"/>
        <v>0.49240833420415381</v>
      </c>
      <c r="P49" s="32">
        <f t="shared" si="30"/>
        <v>0.17904696464755893</v>
      </c>
    </row>
    <row r="50" spans="1:19" x14ac:dyDescent="0.2">
      <c r="B50" s="12" t="s">
        <v>497</v>
      </c>
      <c r="C50" s="12" t="s">
        <v>223</v>
      </c>
      <c r="D50" s="6" t="s">
        <v>241</v>
      </c>
      <c r="E50" s="32">
        <f>+E48</f>
        <v>0.66096246666230418</v>
      </c>
      <c r="F50" s="32">
        <f t="shared" ref="F50:P50" si="31">+F48</f>
        <v>0.42866240440382225</v>
      </c>
      <c r="G50" s="32">
        <f t="shared" si="31"/>
        <v>0.43140991101308218</v>
      </c>
      <c r="H50" s="32">
        <f t="shared" si="31"/>
        <v>0.48595224220121347</v>
      </c>
      <c r="I50" s="32">
        <f t="shared" si="31"/>
        <v>0.50186158370515632</v>
      </c>
      <c r="J50" s="32">
        <f t="shared" si="31"/>
        <v>0.45195838883833878</v>
      </c>
      <c r="K50" s="32">
        <f t="shared" si="31"/>
        <v>0.56656924248510032</v>
      </c>
      <c r="L50" s="32">
        <f t="shared" si="31"/>
        <v>0.53252281192834927</v>
      </c>
      <c r="M50" s="32">
        <f t="shared" si="31"/>
        <v>0.56583221009339879</v>
      </c>
      <c r="N50" s="32">
        <f t="shared" si="31"/>
        <v>0.51351904441796281</v>
      </c>
      <c r="O50" s="32">
        <f t="shared" si="31"/>
        <v>0.50759166579584625</v>
      </c>
      <c r="P50" s="32">
        <f t="shared" si="31"/>
        <v>0.82095303535244102</v>
      </c>
    </row>
    <row r="51" spans="1:19" x14ac:dyDescent="0.2">
      <c r="B51" s="12" t="s">
        <v>496</v>
      </c>
      <c r="C51" s="12" t="s">
        <v>227</v>
      </c>
      <c r="D51" s="6" t="s">
        <v>241</v>
      </c>
      <c r="E51" s="32">
        <f>+E49</f>
        <v>0.33903753333769582</v>
      </c>
      <c r="F51" s="32">
        <f t="shared" ref="F51:P51" si="32">+F49</f>
        <v>0.57133759559617769</v>
      </c>
      <c r="G51" s="32">
        <f t="shared" si="32"/>
        <v>0.56859008898691787</v>
      </c>
      <c r="H51" s="32">
        <f t="shared" si="32"/>
        <v>0.51404775779878642</v>
      </c>
      <c r="I51" s="32">
        <f t="shared" si="32"/>
        <v>0.49813841629484368</v>
      </c>
      <c r="J51" s="32">
        <f t="shared" si="32"/>
        <v>0.54804161116166128</v>
      </c>
      <c r="K51" s="32">
        <f t="shared" si="32"/>
        <v>0.43343075751489968</v>
      </c>
      <c r="L51" s="32">
        <f t="shared" si="32"/>
        <v>0.46747718807165073</v>
      </c>
      <c r="M51" s="32">
        <f t="shared" si="32"/>
        <v>0.43416778990660121</v>
      </c>
      <c r="N51" s="32">
        <f t="shared" si="32"/>
        <v>0.48648095558203719</v>
      </c>
      <c r="O51" s="32">
        <f t="shared" si="32"/>
        <v>0.49240833420415381</v>
      </c>
      <c r="P51" s="32">
        <f t="shared" si="32"/>
        <v>0.17904696464755893</v>
      </c>
    </row>
    <row r="52" spans="1:19" x14ac:dyDescent="0.2">
      <c r="B52" s="12" t="s">
        <v>497</v>
      </c>
      <c r="C52" s="12" t="s">
        <v>227</v>
      </c>
      <c r="D52" s="6" t="s">
        <v>241</v>
      </c>
      <c r="E52" s="32">
        <f>+E50</f>
        <v>0.66096246666230418</v>
      </c>
      <c r="F52" s="32">
        <f t="shared" ref="F52:P52" si="33">+F50</f>
        <v>0.42866240440382225</v>
      </c>
      <c r="G52" s="32">
        <f t="shared" si="33"/>
        <v>0.43140991101308218</v>
      </c>
      <c r="H52" s="32">
        <f t="shared" si="33"/>
        <v>0.48595224220121347</v>
      </c>
      <c r="I52" s="32">
        <f t="shared" si="33"/>
        <v>0.50186158370515632</v>
      </c>
      <c r="J52" s="32">
        <f t="shared" si="33"/>
        <v>0.45195838883833878</v>
      </c>
      <c r="K52" s="32">
        <f t="shared" si="33"/>
        <v>0.56656924248510032</v>
      </c>
      <c r="L52" s="32">
        <f t="shared" si="33"/>
        <v>0.53252281192834927</v>
      </c>
      <c r="M52" s="32">
        <f t="shared" si="33"/>
        <v>0.56583221009339879</v>
      </c>
      <c r="N52" s="32">
        <f t="shared" si="33"/>
        <v>0.51351904441796281</v>
      </c>
      <c r="O52" s="32">
        <f t="shared" si="33"/>
        <v>0.50759166579584625</v>
      </c>
      <c r="P52" s="32">
        <f t="shared" si="33"/>
        <v>0.82095303535244102</v>
      </c>
    </row>
    <row r="53" spans="1:19" x14ac:dyDescent="0.2"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x14ac:dyDescent="0.2">
      <c r="A54" s="3" t="s">
        <v>498</v>
      </c>
    </row>
    <row r="55" spans="1:19" x14ac:dyDescent="0.2">
      <c r="B55" s="24" t="s">
        <v>499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24"/>
      <c r="R55" s="36"/>
      <c r="S55" s="36"/>
    </row>
    <row r="56" spans="1:19" x14ac:dyDescent="0.2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2">
      <c r="B57" s="14" t="s">
        <v>478</v>
      </c>
      <c r="C57" s="31">
        <f>+SUM(C58:C59)</f>
        <v>0</v>
      </c>
      <c r="D57" s="31">
        <f t="shared" ref="D57:P57" si="34">+SUM(D58:D59)</f>
        <v>0</v>
      </c>
      <c r="E57" s="31">
        <f t="shared" si="34"/>
        <v>141672</v>
      </c>
      <c r="F57" s="31">
        <f t="shared" si="34"/>
        <v>130352</v>
      </c>
      <c r="G57" s="31">
        <f t="shared" si="34"/>
        <v>149740</v>
      </c>
      <c r="H57" s="31">
        <f t="shared" si="34"/>
        <v>136317</v>
      </c>
      <c r="I57" s="31">
        <f t="shared" si="34"/>
        <v>118828</v>
      </c>
      <c r="J57" s="31">
        <f t="shared" si="34"/>
        <v>143276</v>
      </c>
      <c r="K57" s="31">
        <f t="shared" si="34"/>
        <v>117764</v>
      </c>
      <c r="L57" s="31">
        <f t="shared" si="34"/>
        <v>129028</v>
      </c>
      <c r="M57" s="31">
        <f t="shared" si="34"/>
        <v>210932</v>
      </c>
      <c r="N57" s="31">
        <f t="shared" si="34"/>
        <v>156272</v>
      </c>
      <c r="O57" s="31">
        <f t="shared" si="34"/>
        <v>138404</v>
      </c>
      <c r="P57" s="31">
        <f t="shared" si="34"/>
        <v>83504</v>
      </c>
      <c r="Q57" s="7"/>
      <c r="R57" s="31">
        <f t="shared" ref="R57:S67" si="35">+SUM(E57:P57)</f>
        <v>1656089</v>
      </c>
      <c r="S57" s="31">
        <f t="shared" si="35"/>
        <v>1514417</v>
      </c>
    </row>
    <row r="58" spans="1:19" x14ac:dyDescent="0.2">
      <c r="B58" s="3" t="s">
        <v>500</v>
      </c>
      <c r="C58" s="7"/>
      <c r="D58" s="7"/>
      <c r="E58" s="7">
        <f>+E23*E42*E43</f>
        <v>65352.000000000007</v>
      </c>
      <c r="F58" s="7">
        <f t="shared" ref="F58:L58" si="36">+F23*F42*F43</f>
        <v>66752</v>
      </c>
      <c r="G58" s="7">
        <f t="shared" si="36"/>
        <v>101140</v>
      </c>
      <c r="H58" s="7">
        <f t="shared" si="36"/>
        <v>90245</v>
      </c>
      <c r="I58" s="7">
        <f t="shared" si="36"/>
        <v>82468</v>
      </c>
      <c r="J58" s="7">
        <f t="shared" si="36"/>
        <v>94916</v>
      </c>
      <c r="K58" s="7">
        <f t="shared" si="36"/>
        <v>76244</v>
      </c>
      <c r="L58" s="7">
        <f t="shared" si="36"/>
        <v>82468</v>
      </c>
      <c r="M58" s="7">
        <f>+M23*M42*M43</f>
        <v>104252</v>
      </c>
      <c r="N58" s="7">
        <f>+N23*N42*N43</f>
        <v>80912</v>
      </c>
      <c r="O58" s="7">
        <f>+O23*O42*O43</f>
        <v>76243.999999999985</v>
      </c>
      <c r="P58" s="7">
        <f>+P23*P42*P43</f>
        <v>6224</v>
      </c>
      <c r="Q58" s="7"/>
      <c r="R58" s="7">
        <f t="shared" si="35"/>
        <v>927217</v>
      </c>
      <c r="S58" s="7">
        <f>+R58*13/18</f>
        <v>669656.72222222225</v>
      </c>
    </row>
    <row r="59" spans="1:19" x14ac:dyDescent="0.2">
      <c r="B59" s="3" t="s">
        <v>482</v>
      </c>
      <c r="C59" s="7"/>
      <c r="D59" s="7"/>
      <c r="E59" s="7">
        <f>+E23*E44*E42</f>
        <v>76320</v>
      </c>
      <c r="F59" s="7">
        <f t="shared" ref="F59:L59" si="37">+F23*F44*F42</f>
        <v>63600</v>
      </c>
      <c r="G59" s="7">
        <f t="shared" si="37"/>
        <v>48600</v>
      </c>
      <c r="H59" s="7">
        <f t="shared" si="37"/>
        <v>46072</v>
      </c>
      <c r="I59" s="7">
        <f t="shared" si="37"/>
        <v>36360</v>
      </c>
      <c r="J59" s="7">
        <f t="shared" si="37"/>
        <v>48360</v>
      </c>
      <c r="K59" s="7">
        <f t="shared" si="37"/>
        <v>41520</v>
      </c>
      <c r="L59" s="7">
        <f t="shared" si="37"/>
        <v>46560</v>
      </c>
      <c r="M59" s="7">
        <f>+M23*M44*M42</f>
        <v>106679.99999999999</v>
      </c>
      <c r="N59" s="7">
        <f>+N23*N44*N42</f>
        <v>75360</v>
      </c>
      <c r="O59" s="7">
        <f>+O23*O44*O42</f>
        <v>62160</v>
      </c>
      <c r="P59" s="7">
        <f>+P23*P44*P42</f>
        <v>77280</v>
      </c>
      <c r="Q59" s="7"/>
      <c r="R59" s="7">
        <f t="shared" si="35"/>
        <v>728872</v>
      </c>
      <c r="S59" s="7">
        <f>+R59</f>
        <v>728872</v>
      </c>
    </row>
    <row r="60" spans="1:19" x14ac:dyDescent="0.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x14ac:dyDescent="0.2">
      <c r="B61" s="14" t="s">
        <v>225</v>
      </c>
      <c r="C61" s="31">
        <f t="shared" ref="C61:P61" si="38">+SUM(C62:C63)</f>
        <v>0</v>
      </c>
      <c r="D61" s="31">
        <f t="shared" si="38"/>
        <v>0</v>
      </c>
      <c r="E61" s="31">
        <f t="shared" si="38"/>
        <v>239150</v>
      </c>
      <c r="F61" s="31">
        <f t="shared" si="38"/>
        <v>205419</v>
      </c>
      <c r="G61" s="31">
        <f t="shared" si="38"/>
        <v>251740</v>
      </c>
      <c r="H61" s="31">
        <f t="shared" si="38"/>
        <v>200348</v>
      </c>
      <c r="I61" s="31">
        <f t="shared" si="38"/>
        <v>212161</v>
      </c>
      <c r="J61" s="31">
        <f t="shared" si="38"/>
        <v>201153</v>
      </c>
      <c r="K61" s="31">
        <f t="shared" si="38"/>
        <v>139031</v>
      </c>
      <c r="L61" s="31">
        <f t="shared" si="38"/>
        <v>140685</v>
      </c>
      <c r="M61" s="31">
        <f t="shared" si="38"/>
        <v>266143</v>
      </c>
      <c r="N61" s="31">
        <f t="shared" si="38"/>
        <v>209125</v>
      </c>
      <c r="O61" s="31">
        <f t="shared" si="38"/>
        <v>200379</v>
      </c>
      <c r="P61" s="31">
        <f t="shared" si="38"/>
        <v>147369</v>
      </c>
      <c r="R61" s="31">
        <f t="shared" si="35"/>
        <v>2412703</v>
      </c>
      <c r="S61" s="31">
        <f t="shared" si="35"/>
        <v>2173553</v>
      </c>
    </row>
    <row r="62" spans="1:19" x14ac:dyDescent="0.2">
      <c r="B62" s="3" t="s">
        <v>500</v>
      </c>
      <c r="C62" s="7"/>
      <c r="D62" s="7"/>
      <c r="E62" s="7">
        <f>+E45*E22</f>
        <v>63760.951520727991</v>
      </c>
      <c r="F62" s="7">
        <f t="shared" ref="F62:P62" si="39">+F45*F22</f>
        <v>125086.59581092419</v>
      </c>
      <c r="G62" s="7">
        <f t="shared" si="39"/>
        <v>127137.5489264678</v>
      </c>
      <c r="H62" s="7">
        <f t="shared" si="39"/>
        <v>82816.888379328448</v>
      </c>
      <c r="I62" s="7">
        <f t="shared" si="39"/>
        <v>82410.336271014021</v>
      </c>
      <c r="J62" s="7">
        <f t="shared" si="39"/>
        <v>93845.424090799803</v>
      </c>
      <c r="K62" s="7">
        <f t="shared" si="39"/>
        <v>35058.851376038656</v>
      </c>
      <c r="L62" s="7">
        <f t="shared" si="39"/>
        <v>43616.674826369119</v>
      </c>
      <c r="M62" s="7">
        <f t="shared" si="39"/>
        <v>102878.59836969178</v>
      </c>
      <c r="N62" s="7">
        <f t="shared" si="39"/>
        <v>96846.681726809664</v>
      </c>
      <c r="O62" s="7">
        <f t="shared" si="39"/>
        <v>90575.572686685831</v>
      </c>
      <c r="P62" s="7">
        <f t="shared" si="39"/>
        <v>35113.109869075874</v>
      </c>
      <c r="R62" s="7">
        <f t="shared" si="35"/>
        <v>979147.23385393317</v>
      </c>
      <c r="S62" s="7">
        <f>+R62*13/18</f>
        <v>707161.89111672947</v>
      </c>
    </row>
    <row r="63" spans="1:19" x14ac:dyDescent="0.2">
      <c r="B63" s="3" t="s">
        <v>482</v>
      </c>
      <c r="C63" s="7"/>
      <c r="D63" s="7"/>
      <c r="E63" s="7">
        <f>+E22*E46</f>
        <v>175389.04847927199</v>
      </c>
      <c r="F63" s="7">
        <f t="shared" ref="F63:P63" si="40">+F22*F46</f>
        <v>80332.404189075809</v>
      </c>
      <c r="G63" s="7">
        <f t="shared" si="40"/>
        <v>124602.45107353221</v>
      </c>
      <c r="H63" s="7">
        <f t="shared" si="40"/>
        <v>117531.11162067155</v>
      </c>
      <c r="I63" s="7">
        <f t="shared" si="40"/>
        <v>129750.66372898596</v>
      </c>
      <c r="J63" s="7">
        <f t="shared" si="40"/>
        <v>107307.57590920018</v>
      </c>
      <c r="K63" s="7">
        <f t="shared" si="40"/>
        <v>103972.14862396134</v>
      </c>
      <c r="L63" s="7">
        <f t="shared" si="40"/>
        <v>97068.325173630874</v>
      </c>
      <c r="M63" s="7">
        <f t="shared" si="40"/>
        <v>163264.40163030822</v>
      </c>
      <c r="N63" s="7">
        <f t="shared" si="40"/>
        <v>112278.31827319034</v>
      </c>
      <c r="O63" s="7">
        <f t="shared" si="40"/>
        <v>109803.42731331415</v>
      </c>
      <c r="P63" s="7">
        <f t="shared" si="40"/>
        <v>112255.89013092412</v>
      </c>
      <c r="R63" s="7">
        <f t="shared" si="35"/>
        <v>1433555.7661460666</v>
      </c>
      <c r="S63" s="7">
        <f>+R63</f>
        <v>1433555.7661460666</v>
      </c>
    </row>
    <row r="65" spans="2:19" x14ac:dyDescent="0.2">
      <c r="B65" s="30" t="s">
        <v>457</v>
      </c>
      <c r="C65" s="37">
        <f t="shared" ref="C65:P65" si="41">+SUM(C66:C67)</f>
        <v>0</v>
      </c>
      <c r="D65" s="37">
        <f t="shared" si="41"/>
        <v>0</v>
      </c>
      <c r="E65" s="37">
        <f t="shared" si="41"/>
        <v>380822</v>
      </c>
      <c r="F65" s="37">
        <f t="shared" si="41"/>
        <v>335771</v>
      </c>
      <c r="G65" s="37">
        <f t="shared" si="41"/>
        <v>401480</v>
      </c>
      <c r="H65" s="37">
        <f t="shared" si="41"/>
        <v>336665</v>
      </c>
      <c r="I65" s="37">
        <f t="shared" si="41"/>
        <v>330989</v>
      </c>
      <c r="J65" s="37">
        <f t="shared" si="41"/>
        <v>344429</v>
      </c>
      <c r="K65" s="37">
        <f t="shared" si="41"/>
        <v>256795</v>
      </c>
      <c r="L65" s="37">
        <f t="shared" si="41"/>
        <v>269713</v>
      </c>
      <c r="M65" s="37">
        <f t="shared" si="41"/>
        <v>477075</v>
      </c>
      <c r="N65" s="37">
        <f t="shared" si="41"/>
        <v>365397</v>
      </c>
      <c r="O65" s="37">
        <f t="shared" si="41"/>
        <v>338783</v>
      </c>
      <c r="P65" s="37">
        <f t="shared" si="41"/>
        <v>230873</v>
      </c>
      <c r="R65" s="37">
        <f t="shared" si="35"/>
        <v>4068792</v>
      </c>
      <c r="S65" s="37">
        <f t="shared" si="35"/>
        <v>3687970</v>
      </c>
    </row>
    <row r="66" spans="2:19" x14ac:dyDescent="0.2">
      <c r="B66" s="3" t="s">
        <v>500</v>
      </c>
      <c r="C66" s="7"/>
      <c r="D66" s="7"/>
      <c r="E66" s="7">
        <f>+E62+E58</f>
        <v>129112.95152072801</v>
      </c>
      <c r="F66" s="7">
        <f t="shared" ref="F66:P66" si="42">+F62+F58</f>
        <v>191838.59581092419</v>
      </c>
      <c r="G66" s="7">
        <f t="shared" si="42"/>
        <v>228277.5489264678</v>
      </c>
      <c r="H66" s="7">
        <f t="shared" si="42"/>
        <v>173061.88837932845</v>
      </c>
      <c r="I66" s="7">
        <f t="shared" si="42"/>
        <v>164878.33627101401</v>
      </c>
      <c r="J66" s="7">
        <f t="shared" si="42"/>
        <v>188761.42409079982</v>
      </c>
      <c r="K66" s="7">
        <f t="shared" si="42"/>
        <v>111302.85137603866</v>
      </c>
      <c r="L66" s="7">
        <f t="shared" si="42"/>
        <v>126084.67482636913</v>
      </c>
      <c r="M66" s="7">
        <f t="shared" si="42"/>
        <v>207130.59836969178</v>
      </c>
      <c r="N66" s="7">
        <f t="shared" si="42"/>
        <v>177758.68172680965</v>
      </c>
      <c r="O66" s="7">
        <f t="shared" si="42"/>
        <v>166819.57268668583</v>
      </c>
      <c r="P66" s="7">
        <f t="shared" si="42"/>
        <v>41337.109869075874</v>
      </c>
      <c r="R66" s="7">
        <f t="shared" si="35"/>
        <v>1906364.2338539334</v>
      </c>
      <c r="S66" s="7">
        <f>+R66*13/18</f>
        <v>1376818.613338952</v>
      </c>
    </row>
    <row r="67" spans="2:19" x14ac:dyDescent="0.2">
      <c r="B67" s="3" t="s">
        <v>482</v>
      </c>
      <c r="C67" s="7"/>
      <c r="D67" s="7"/>
      <c r="E67" s="7">
        <f>+E63+E59</f>
        <v>251709.04847927199</v>
      </c>
      <c r="F67" s="7">
        <f t="shared" ref="F67:P67" si="43">+F63+F59</f>
        <v>143932.40418907581</v>
      </c>
      <c r="G67" s="7">
        <f t="shared" si="43"/>
        <v>173202.45107353223</v>
      </c>
      <c r="H67" s="7">
        <f t="shared" si="43"/>
        <v>163603.11162067155</v>
      </c>
      <c r="I67" s="7">
        <f t="shared" si="43"/>
        <v>166110.66372898596</v>
      </c>
      <c r="J67" s="7">
        <f t="shared" si="43"/>
        <v>155667.57590920018</v>
      </c>
      <c r="K67" s="7">
        <f t="shared" si="43"/>
        <v>145492.14862396134</v>
      </c>
      <c r="L67" s="7">
        <f t="shared" si="43"/>
        <v>143628.32517363087</v>
      </c>
      <c r="M67" s="7">
        <f t="shared" si="43"/>
        <v>269944.40163030819</v>
      </c>
      <c r="N67" s="7">
        <f t="shared" si="43"/>
        <v>187638.31827319035</v>
      </c>
      <c r="O67" s="7">
        <f t="shared" si="43"/>
        <v>171963.42731331417</v>
      </c>
      <c r="P67" s="7">
        <f t="shared" si="43"/>
        <v>189535.89013092412</v>
      </c>
      <c r="R67" s="7">
        <f t="shared" si="35"/>
        <v>2162427.7661460666</v>
      </c>
      <c r="S67" s="7">
        <f>+R67</f>
        <v>2162427.7661460666</v>
      </c>
    </row>
    <row r="68" spans="2:19" x14ac:dyDescent="0.2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R68" s="7"/>
      <c r="S68" s="7"/>
    </row>
    <row r="69" spans="2:19" x14ac:dyDescent="0.2">
      <c r="B69" s="3" t="s">
        <v>613</v>
      </c>
      <c r="E69" s="7">
        <f>+E66*13/18</f>
        <v>93248.242764970229</v>
      </c>
      <c r="F69" s="7">
        <f t="shared" ref="F69:P69" si="44">+F66*13/18</f>
        <v>138550.09697455636</v>
      </c>
      <c r="G69" s="7">
        <f t="shared" si="44"/>
        <v>164867.11866911562</v>
      </c>
      <c r="H69" s="7">
        <f t="shared" si="44"/>
        <v>124989.14160729277</v>
      </c>
      <c r="I69" s="7">
        <f t="shared" si="44"/>
        <v>119078.79841795455</v>
      </c>
      <c r="J69" s="7">
        <f t="shared" si="44"/>
        <v>136327.69517668875</v>
      </c>
      <c r="K69" s="7">
        <f t="shared" si="44"/>
        <v>80385.392660472367</v>
      </c>
      <c r="L69" s="7">
        <f t="shared" si="44"/>
        <v>91061.154041266593</v>
      </c>
      <c r="M69" s="7">
        <f t="shared" si="44"/>
        <v>149594.3210447774</v>
      </c>
      <c r="N69" s="7">
        <f t="shared" si="44"/>
        <v>128381.2701360292</v>
      </c>
      <c r="O69" s="7">
        <f t="shared" si="44"/>
        <v>120480.80249593976</v>
      </c>
      <c r="P69" s="7">
        <f t="shared" si="44"/>
        <v>29854.579349888132</v>
      </c>
    </row>
    <row r="70" spans="2:19" x14ac:dyDescent="0.2">
      <c r="B70" s="3" t="s">
        <v>559</v>
      </c>
    </row>
    <row r="72" spans="2:19" x14ac:dyDescent="0.2">
      <c r="B72" s="8" t="s">
        <v>560</v>
      </c>
    </row>
    <row r="73" spans="2:19" x14ac:dyDescent="0.2">
      <c r="B73" s="3" t="s">
        <v>561</v>
      </c>
    </row>
    <row r="74" spans="2:19" x14ac:dyDescent="0.2">
      <c r="B74" s="3" t="s">
        <v>562</v>
      </c>
    </row>
    <row r="75" spans="2:19" x14ac:dyDescent="0.2">
      <c r="B75" s="2" t="s">
        <v>563</v>
      </c>
    </row>
    <row r="77" spans="2:19" x14ac:dyDescent="0.2">
      <c r="B77" s="39" t="s">
        <v>572</v>
      </c>
      <c r="C77" s="40"/>
      <c r="D77" s="40"/>
      <c r="E77" s="40"/>
      <c r="F77" s="248" t="s">
        <v>578</v>
      </c>
    </row>
    <row r="78" spans="2:19" x14ac:dyDescent="0.2">
      <c r="B78" s="4" t="s">
        <v>564</v>
      </c>
      <c r="F78" s="249"/>
    </row>
    <row r="79" spans="2:19" x14ac:dyDescent="0.2">
      <c r="B79" s="4" t="s">
        <v>565</v>
      </c>
      <c r="F79" s="249"/>
    </row>
    <row r="80" spans="2:19" x14ac:dyDescent="0.2">
      <c r="B80" s="41" t="s">
        <v>566</v>
      </c>
      <c r="F80" s="249"/>
    </row>
    <row r="81" spans="2:6" x14ac:dyDescent="0.2">
      <c r="B81" s="4" t="s">
        <v>567</v>
      </c>
      <c r="F81" s="249"/>
    </row>
    <row r="82" spans="2:6" x14ac:dyDescent="0.2">
      <c r="B82" s="4" t="s">
        <v>575</v>
      </c>
      <c r="F82" s="249"/>
    </row>
    <row r="83" spans="2:6" x14ac:dyDescent="0.2">
      <c r="B83" s="4"/>
      <c r="F83" s="249"/>
    </row>
    <row r="84" spans="2:6" x14ac:dyDescent="0.2">
      <c r="B84" s="42" t="s">
        <v>568</v>
      </c>
      <c r="F84" s="249"/>
    </row>
    <row r="85" spans="2:6" x14ac:dyDescent="0.2">
      <c r="B85" s="4" t="s">
        <v>573</v>
      </c>
      <c r="F85" s="249"/>
    </row>
    <row r="86" spans="2:6" x14ac:dyDescent="0.2">
      <c r="B86" s="4" t="s">
        <v>576</v>
      </c>
      <c r="F86" s="249"/>
    </row>
    <row r="87" spans="2:6" x14ac:dyDescent="0.2">
      <c r="B87" s="4" t="s">
        <v>574</v>
      </c>
      <c r="F87" s="249"/>
    </row>
    <row r="88" spans="2:6" x14ac:dyDescent="0.2">
      <c r="B88" s="4" t="s">
        <v>577</v>
      </c>
      <c r="F88" s="249"/>
    </row>
    <row r="89" spans="2:6" x14ac:dyDescent="0.2">
      <c r="B89" s="42" t="s">
        <v>569</v>
      </c>
      <c r="F89" s="249"/>
    </row>
    <row r="90" spans="2:6" x14ac:dyDescent="0.2">
      <c r="B90" s="4" t="s">
        <v>570</v>
      </c>
      <c r="F90" s="249"/>
    </row>
    <row r="91" spans="2:6" x14ac:dyDescent="0.2">
      <c r="B91" s="5" t="s">
        <v>571</v>
      </c>
      <c r="C91" s="10"/>
      <c r="D91" s="10"/>
      <c r="E91" s="10"/>
      <c r="F91" s="250"/>
    </row>
  </sheetData>
  <mergeCells count="3">
    <mergeCell ref="Y35:Z35"/>
    <mergeCell ref="AA35:AB35"/>
    <mergeCell ref="F77:F91"/>
  </mergeCells>
  <phoneticPr fontId="12" type="noConversion"/>
  <pageMargins left="0.7" right="0.7" top="0.75" bottom="0.75" header="0.3" footer="0.3"/>
  <pageSetup orientation="portrait" r:id="rId1"/>
  <customProperties>
    <customPr name="isReportSheetChange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4C86-C1F9-4C01-A501-8D571FF2201F}">
  <sheetPr codeName="Hoja3">
    <tabColor rgb="FFFFC000"/>
  </sheetPr>
  <dimension ref="B2:BN387"/>
  <sheetViews>
    <sheetView showGridLines="0" zoomScale="90" zoomScaleNormal="90" workbookViewId="0">
      <pane ySplit="11" topLeftCell="A12" activePane="bottomLeft" state="frozen"/>
      <selection activeCell="C17" sqref="C17"/>
      <selection pane="bottomLeft" activeCell="BA16" sqref="BA16"/>
    </sheetView>
  </sheetViews>
  <sheetFormatPr baseColWidth="10" defaultColWidth="9.140625" defaultRowHeight="15" x14ac:dyDescent="0.25"/>
  <cols>
    <col min="1" max="1" width="3.7109375" style="51" customWidth="1"/>
    <col min="2" max="2" width="54.7109375" style="51" customWidth="1"/>
    <col min="3" max="3" width="23.140625" style="51" customWidth="1"/>
    <col min="4" max="4" width="6" style="51" customWidth="1"/>
    <col min="5" max="5" width="58.28515625" style="51" customWidth="1"/>
    <col min="6" max="7" width="14.28515625" style="51" customWidth="1"/>
    <col min="8" max="10" width="9.140625" style="51"/>
    <col min="11" max="11" width="10.42578125" style="51" customWidth="1"/>
    <col min="12" max="12" width="9.140625" style="51"/>
    <col min="13" max="13" width="40.42578125" style="51" bestFit="1" customWidth="1"/>
    <col min="14" max="14" width="47.7109375" style="51" bestFit="1" customWidth="1"/>
    <col min="15" max="16" width="26.140625" style="51" bestFit="1" customWidth="1"/>
    <col min="17" max="17" width="29.42578125" style="51" bestFit="1" customWidth="1"/>
    <col min="18" max="18" width="4.42578125" style="51" customWidth="1"/>
    <col min="19" max="19" width="39.140625" style="51" bestFit="1" customWidth="1"/>
    <col min="20" max="20" width="14.140625" style="51" customWidth="1"/>
    <col min="21" max="21" width="17.28515625" style="51" customWidth="1"/>
    <col min="22" max="22" width="19.5703125" style="51" customWidth="1"/>
    <col min="23" max="23" width="12" style="51" bestFit="1" customWidth="1"/>
    <col min="24" max="24" width="17" style="51" bestFit="1" customWidth="1"/>
    <col min="25" max="25" width="31.85546875" style="51" customWidth="1"/>
    <col min="26" max="26" width="4.28515625" style="51" customWidth="1"/>
    <col min="27" max="27" width="63" style="51" bestFit="1" customWidth="1"/>
    <col min="28" max="28" width="20.5703125" style="51" customWidth="1"/>
    <col min="29" max="32" width="24.85546875" style="51" customWidth="1"/>
    <col min="33" max="33" width="3" style="51" customWidth="1"/>
    <col min="34" max="34" width="17.28515625" style="51" bestFit="1" customWidth="1"/>
    <col min="35" max="35" width="14.42578125" style="51" customWidth="1"/>
    <col min="36" max="37" width="12.140625" style="51" customWidth="1"/>
    <col min="38" max="39" width="3.42578125" style="51" customWidth="1"/>
    <col min="40" max="42" width="21.28515625" style="51" customWidth="1"/>
    <col min="43" max="43" width="3.42578125" style="51" customWidth="1"/>
    <col min="44" max="44" width="31" style="51" bestFit="1" customWidth="1"/>
    <col min="45" max="45" width="17.42578125" style="51" customWidth="1"/>
    <col min="46" max="46" width="24.28515625" style="51" bestFit="1" customWidth="1"/>
    <col min="47" max="47" width="24.28515625" style="51" customWidth="1"/>
    <col min="48" max="48" width="17.42578125" style="51" customWidth="1"/>
    <col min="49" max="51" width="9.140625" style="51"/>
    <col min="52" max="52" width="22.7109375" style="51" bestFit="1" customWidth="1"/>
    <col min="53" max="53" width="31.28515625" style="51" bestFit="1" customWidth="1"/>
    <col min="54" max="54" width="20.7109375" style="51" bestFit="1" customWidth="1"/>
    <col min="55" max="55" width="11.140625" style="56" bestFit="1" customWidth="1"/>
    <col min="56" max="56" width="9.5703125" style="54" bestFit="1" customWidth="1"/>
    <col min="57" max="58" width="15.28515625" style="51" customWidth="1"/>
    <col min="59" max="59" width="12" style="51" customWidth="1"/>
    <col min="60" max="60" width="15.5703125" style="51" customWidth="1"/>
    <col min="61" max="61" width="19" style="51" customWidth="1"/>
    <col min="62" max="62" width="12.5703125" style="51" customWidth="1"/>
    <col min="63" max="63" width="2.5703125" style="51" customWidth="1"/>
    <col min="64" max="66" width="18" style="51" customWidth="1"/>
    <col min="67" max="67" width="17" style="51" customWidth="1"/>
    <col min="68" max="16384" width="9.140625" style="51"/>
  </cols>
  <sheetData>
    <row r="2" spans="2:66" x14ac:dyDescent="0.25">
      <c r="E2" s="227" t="s">
        <v>422</v>
      </c>
      <c r="H2" s="227" t="s">
        <v>423</v>
      </c>
      <c r="I2" s="226"/>
      <c r="J2" s="226"/>
      <c r="K2" s="226"/>
      <c r="L2" s="226"/>
    </row>
    <row r="3" spans="2:66" x14ac:dyDescent="0.25">
      <c r="E3" s="51" t="s">
        <v>424</v>
      </c>
      <c r="H3" s="51" t="s">
        <v>425</v>
      </c>
    </row>
    <row r="4" spans="2:66" x14ac:dyDescent="0.25">
      <c r="E4" s="51" t="s">
        <v>426</v>
      </c>
      <c r="H4" s="228" t="s">
        <v>427</v>
      </c>
    </row>
    <row r="5" spans="2:66" x14ac:dyDescent="0.25">
      <c r="E5" s="51" t="s">
        <v>428</v>
      </c>
      <c r="H5" s="51" t="s">
        <v>429</v>
      </c>
    </row>
    <row r="6" spans="2:66" x14ac:dyDescent="0.25">
      <c r="E6" s="51" t="s">
        <v>430</v>
      </c>
      <c r="H6" s="51" t="s">
        <v>580</v>
      </c>
    </row>
    <row r="7" spans="2:66" x14ac:dyDescent="0.25">
      <c r="E7" s="51" t="s">
        <v>431</v>
      </c>
    </row>
    <row r="9" spans="2:66" s="57" customFormat="1" ht="16.5" thickBot="1" x14ac:dyDescent="0.3">
      <c r="B9" s="255" t="s">
        <v>548</v>
      </c>
      <c r="C9" s="255"/>
      <c r="E9" s="257" t="s">
        <v>432</v>
      </c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S9" s="254" t="s">
        <v>547</v>
      </c>
      <c r="T9" s="254"/>
      <c r="U9" s="254"/>
      <c r="V9" s="254"/>
      <c r="W9" s="254"/>
      <c r="X9" s="254"/>
      <c r="Y9" s="254"/>
      <c r="AA9" s="253" t="s">
        <v>433</v>
      </c>
      <c r="AB9" s="253"/>
      <c r="AC9" s="253"/>
      <c r="AD9" s="253"/>
      <c r="AE9" s="253"/>
      <c r="AF9" s="253"/>
      <c r="AH9" s="257" t="s">
        <v>2</v>
      </c>
      <c r="AI9" s="257"/>
      <c r="AJ9" s="257"/>
      <c r="AK9" s="257"/>
      <c r="AN9" s="57" t="s">
        <v>643</v>
      </c>
      <c r="AR9" s="251" t="s">
        <v>579</v>
      </c>
      <c r="AS9" s="251"/>
      <c r="AT9" s="251"/>
      <c r="AU9" s="251"/>
      <c r="AV9" s="251"/>
      <c r="AZ9" s="58"/>
      <c r="BA9" s="59" t="s">
        <v>595</v>
      </c>
      <c r="BB9" s="59" t="s">
        <v>596</v>
      </c>
      <c r="BC9" s="60" t="s">
        <v>596</v>
      </c>
      <c r="BD9" s="61" t="s">
        <v>596</v>
      </c>
      <c r="BE9" s="61" t="s">
        <v>596</v>
      </c>
      <c r="BF9" s="61" t="s">
        <v>596</v>
      </c>
      <c r="BG9" s="61" t="s">
        <v>596</v>
      </c>
      <c r="BH9" s="61" t="s">
        <v>596</v>
      </c>
      <c r="BI9" s="61" t="s">
        <v>596</v>
      </c>
      <c r="BJ9" s="61" t="s">
        <v>596</v>
      </c>
    </row>
    <row r="10" spans="2:66" ht="15.75" x14ac:dyDescent="0.25">
      <c r="E10" s="62" t="s">
        <v>434</v>
      </c>
      <c r="F10" s="252" t="s">
        <v>581</v>
      </c>
      <c r="G10" s="252"/>
      <c r="H10" s="252"/>
      <c r="I10" s="252"/>
      <c r="J10" s="252"/>
      <c r="K10" s="252"/>
      <c r="L10" s="252"/>
      <c r="M10" s="256" t="s">
        <v>435</v>
      </c>
      <c r="N10" s="256"/>
      <c r="O10" s="256"/>
      <c r="P10" s="256"/>
      <c r="Q10" s="256"/>
      <c r="R10" s="57"/>
      <c r="AZ10" s="59"/>
      <c r="BA10" s="64" t="s">
        <v>584</v>
      </c>
      <c r="BB10" s="65" t="s">
        <v>603</v>
      </c>
      <c r="BC10" s="65" t="s">
        <v>605</v>
      </c>
      <c r="BD10" s="66" t="s">
        <v>602</v>
      </c>
      <c r="BE10" s="67" t="s">
        <v>31</v>
      </c>
      <c r="BF10" s="68" t="s">
        <v>586</v>
      </c>
      <c r="BG10" s="68" t="s">
        <v>194</v>
      </c>
      <c r="BH10" s="68" t="s">
        <v>587</v>
      </c>
      <c r="BI10" s="68" t="s">
        <v>588</v>
      </c>
      <c r="BJ10" s="69" t="s">
        <v>589</v>
      </c>
      <c r="BL10" s="67" t="s">
        <v>592</v>
      </c>
      <c r="BM10" s="68" t="s">
        <v>593</v>
      </c>
      <c r="BN10" s="69" t="s">
        <v>594</v>
      </c>
    </row>
    <row r="11" spans="2:66" s="54" customFormat="1" ht="15.75" x14ac:dyDescent="0.25">
      <c r="B11" s="54" t="s">
        <v>165</v>
      </c>
      <c r="C11" s="54" t="s">
        <v>189</v>
      </c>
      <c r="E11" s="54" t="s">
        <v>188</v>
      </c>
      <c r="F11" s="54" t="s">
        <v>190</v>
      </c>
      <c r="G11" s="54" t="s">
        <v>191</v>
      </c>
      <c r="H11" s="54" t="s">
        <v>4</v>
      </c>
      <c r="I11" s="54" t="s">
        <v>225</v>
      </c>
      <c r="J11" s="54" t="s">
        <v>227</v>
      </c>
      <c r="K11" s="54" t="s">
        <v>223</v>
      </c>
      <c r="L11" s="54" t="s">
        <v>247</v>
      </c>
      <c r="M11" s="66" t="s">
        <v>436</v>
      </c>
      <c r="N11" s="66" t="s">
        <v>437</v>
      </c>
      <c r="O11" s="66" t="s">
        <v>438</v>
      </c>
      <c r="P11" s="66" t="s">
        <v>439</v>
      </c>
      <c r="Q11" s="211" t="s">
        <v>440</v>
      </c>
      <c r="R11" s="212"/>
      <c r="S11" s="54" t="s">
        <v>163</v>
      </c>
      <c r="T11" s="54" t="s">
        <v>0</v>
      </c>
      <c r="U11" s="54" t="s">
        <v>1</v>
      </c>
      <c r="V11" s="54" t="s">
        <v>2</v>
      </c>
      <c r="W11" s="54" t="s">
        <v>441</v>
      </c>
      <c r="X11" s="54" t="s">
        <v>29</v>
      </c>
      <c r="Y11" s="54" t="s">
        <v>442</v>
      </c>
      <c r="AA11" s="54" t="s">
        <v>30</v>
      </c>
      <c r="AB11" s="54" t="s">
        <v>29</v>
      </c>
      <c r="AC11" s="54" t="s">
        <v>164</v>
      </c>
      <c r="AD11" s="54" t="s">
        <v>443</v>
      </c>
      <c r="AE11" s="54" t="s">
        <v>444</v>
      </c>
      <c r="AF11" s="54" t="s">
        <v>445</v>
      </c>
      <c r="AH11" s="54" t="s">
        <v>582</v>
      </c>
      <c r="AI11" s="54" t="s">
        <v>628</v>
      </c>
      <c r="AJ11" s="54" t="s">
        <v>635</v>
      </c>
      <c r="AK11" s="54" t="s">
        <v>642</v>
      </c>
      <c r="AN11" s="213" t="s">
        <v>584</v>
      </c>
      <c r="AO11" s="66" t="s">
        <v>604</v>
      </c>
      <c r="AR11" s="54" t="s">
        <v>584</v>
      </c>
      <c r="AS11" s="54" t="s">
        <v>604</v>
      </c>
      <c r="AT11" s="54" t="s">
        <v>603</v>
      </c>
      <c r="AU11" s="54" t="s">
        <v>623</v>
      </c>
      <c r="AV11" s="63" t="s">
        <v>602</v>
      </c>
      <c r="BC11" s="214"/>
      <c r="BE11" s="215"/>
      <c r="BF11" s="54">
        <v>0</v>
      </c>
      <c r="BH11" s="54">
        <v>0</v>
      </c>
      <c r="BJ11" s="216"/>
      <c r="BL11" s="215">
        <f>+IF(BD11="Y",BF11,IF(BD11="A",SUMIF($BB$12:$BB$38,BB11,$BE$12:$BE$68),BE11))</f>
        <v>0</v>
      </c>
      <c r="BM11" s="54">
        <f>+IF(BD11="Y",BH11,BG11)</f>
        <v>0</v>
      </c>
      <c r="BN11" s="216">
        <f>+IF(BD11="Y",BM11/BL11,BJ11)</f>
        <v>0</v>
      </c>
    </row>
    <row r="12" spans="2:66" ht="15.75" x14ac:dyDescent="0.25">
      <c r="B12" s="51" t="s">
        <v>192</v>
      </c>
      <c r="C12" s="51" t="s">
        <v>4</v>
      </c>
      <c r="E12" s="51" t="s">
        <v>248</v>
      </c>
      <c r="F12" s="51" t="s">
        <v>31</v>
      </c>
      <c r="G12" s="51" t="s">
        <v>207</v>
      </c>
      <c r="H12" s="51" t="s">
        <v>271</v>
      </c>
      <c r="I12" s="52" t="s">
        <v>271</v>
      </c>
      <c r="J12" s="51" t="s">
        <v>271</v>
      </c>
      <c r="K12" s="51" t="s">
        <v>271</v>
      </c>
      <c r="L12" s="51" t="s">
        <v>271</v>
      </c>
      <c r="M12" s="51" t="s">
        <v>176</v>
      </c>
      <c r="N12" s="51" t="s">
        <v>400</v>
      </c>
      <c r="O12" s="51" t="s">
        <v>176</v>
      </c>
      <c r="P12" s="51" t="s">
        <v>176</v>
      </c>
      <c r="Q12" s="51" t="s">
        <v>176</v>
      </c>
      <c r="R12" s="57"/>
      <c r="S12" s="51" t="s">
        <v>244</v>
      </c>
      <c r="T12" s="51" t="s">
        <v>138</v>
      </c>
      <c r="U12" s="51" t="s">
        <v>275</v>
      </c>
      <c r="V12" s="51" t="s">
        <v>161</v>
      </c>
      <c r="W12" s="51">
        <v>1</v>
      </c>
      <c r="X12" s="51" t="s">
        <v>142</v>
      </c>
      <c r="AA12" s="51" t="s">
        <v>98</v>
      </c>
      <c r="AB12" s="51" t="s">
        <v>97</v>
      </c>
      <c r="AC12" s="51" t="s">
        <v>83</v>
      </c>
      <c r="AD12" s="51">
        <v>22</v>
      </c>
      <c r="AE12" s="51">
        <v>5</v>
      </c>
      <c r="AF12" s="51">
        <v>39</v>
      </c>
      <c r="AH12" s="70" t="s">
        <v>161</v>
      </c>
      <c r="AI12" s="51" t="s">
        <v>629</v>
      </c>
      <c r="AJ12" s="51" t="s">
        <v>636</v>
      </c>
      <c r="AK12" s="51">
        <v>4</v>
      </c>
      <c r="AR12" s="51" t="s">
        <v>398</v>
      </c>
      <c r="AS12" s="71">
        <v>1</v>
      </c>
      <c r="AT12" s="71" t="s">
        <v>449</v>
      </c>
      <c r="AU12" s="71"/>
      <c r="AV12" s="72"/>
      <c r="AZ12" s="73"/>
      <c r="BA12" s="73" t="s">
        <v>398</v>
      </c>
      <c r="BB12" s="74" t="s">
        <v>449</v>
      </c>
      <c r="BC12" s="75">
        <f>+DimAccountReconc.[[#This Row],[SortIndex]]</f>
        <v>1</v>
      </c>
      <c r="BD12" s="76"/>
      <c r="BE12" s="77">
        <v>100</v>
      </c>
      <c r="BF12" s="78">
        <f t="shared" ref="BF12:BF13" si="0">+IF(BD12="",BE12+BF11,BF11)</f>
        <v>100</v>
      </c>
      <c r="BG12" s="78"/>
      <c r="BH12" s="78">
        <f>+IF(BD12="",BG12+BH11,BH11)</f>
        <v>0</v>
      </c>
      <c r="BI12" s="79">
        <f>+IF(BF12=0,0,BH12/BF12)</f>
        <v>0</v>
      </c>
      <c r="BJ12" s="80">
        <f>+BI12-BI11</f>
        <v>0</v>
      </c>
      <c r="BK12" s="81"/>
      <c r="BL12" s="82">
        <f t="shared" ref="BL12:BL20" si="1">+IF(BD12="Y",BF12,IF(OR(BD12="A",BD12="B"),SUMIF($BB$12:$BB$38,BB12,$BE$12:$BE$68),BE12))</f>
        <v>100</v>
      </c>
      <c r="BM12" s="83">
        <f t="shared" ref="BM12:BM20" si="2">+IF(BD12="Y",BH12,IF(OR(BD12="A",BD12="B"),SUMIF($BB$12:$BB$38,BB12,$BG$12:$BG$38),BG12))</f>
        <v>0</v>
      </c>
      <c r="BN12" s="80">
        <f t="shared" ref="BN12:BN20" si="3">+IF(BD12="Y",BM12/BL12,IF(BD12="A",SUMIF($BB$12:$BB$38,BB12,$BJ$12:$BJ$38),IF(BD12="B",SUMIF($BB$12:$BB$38,BB12,$BG$12:$BG$38)/SUMIF($BB$12:$BB$38,BB12,$BE$12:$BE$68),BJ12)))</f>
        <v>0</v>
      </c>
    </row>
    <row r="13" spans="2:66" ht="15.75" x14ac:dyDescent="0.25">
      <c r="B13" s="51" t="s">
        <v>195</v>
      </c>
      <c r="C13" s="51" t="s">
        <v>4</v>
      </c>
      <c r="E13" s="51" t="s">
        <v>5</v>
      </c>
      <c r="F13" s="51" t="s">
        <v>31</v>
      </c>
      <c r="G13" s="51" t="s">
        <v>207</v>
      </c>
      <c r="H13" s="51" t="s">
        <v>271</v>
      </c>
      <c r="I13" s="51" t="s">
        <v>238</v>
      </c>
      <c r="J13" s="51" t="s">
        <v>271</v>
      </c>
      <c r="K13" s="51" t="s">
        <v>271</v>
      </c>
      <c r="L13" s="51" t="s">
        <v>271</v>
      </c>
      <c r="M13" s="51" t="s">
        <v>176</v>
      </c>
      <c r="N13" s="51" t="s">
        <v>400</v>
      </c>
      <c r="O13" s="51" t="s">
        <v>176</v>
      </c>
      <c r="P13" s="51" t="s">
        <v>176</v>
      </c>
      <c r="Q13" s="51" t="s">
        <v>176</v>
      </c>
      <c r="R13" s="57"/>
      <c r="S13" s="51" t="s">
        <v>244</v>
      </c>
      <c r="T13" s="51" t="s">
        <v>138</v>
      </c>
      <c r="U13" s="51" t="s">
        <v>16</v>
      </c>
      <c r="V13" s="51" t="s">
        <v>158</v>
      </c>
      <c r="W13" s="51">
        <v>0.72222222222222221</v>
      </c>
      <c r="X13" s="51" t="s">
        <v>142</v>
      </c>
      <c r="AA13" s="51" t="s">
        <v>85</v>
      </c>
      <c r="AB13" s="51" t="s">
        <v>84</v>
      </c>
      <c r="AC13" s="51" t="s">
        <v>83</v>
      </c>
      <c r="AD13" s="51">
        <v>21</v>
      </c>
      <c r="AE13" s="51">
        <v>5</v>
      </c>
      <c r="AF13" s="51">
        <v>31</v>
      </c>
      <c r="AH13" s="70" t="s">
        <v>158</v>
      </c>
      <c r="AI13" s="51" t="s">
        <v>630</v>
      </c>
      <c r="AJ13" s="51" t="s">
        <v>637</v>
      </c>
      <c r="AK13" s="51">
        <v>1</v>
      </c>
      <c r="AR13" s="51" t="s">
        <v>606</v>
      </c>
      <c r="AS13" s="71">
        <v>2</v>
      </c>
      <c r="AT13" s="71" t="s">
        <v>449</v>
      </c>
      <c r="AU13" s="71"/>
      <c r="AV13" s="72"/>
      <c r="AZ13" s="73"/>
      <c r="BA13" s="73" t="s">
        <v>166</v>
      </c>
      <c r="BB13" s="74" t="s">
        <v>449</v>
      </c>
      <c r="BC13" s="75">
        <f>+DimAccountReconc.[[#This Row],[SortIndex]]</f>
        <v>2</v>
      </c>
      <c r="BD13" s="76"/>
      <c r="BE13" s="77">
        <v>50</v>
      </c>
      <c r="BF13" s="78">
        <f t="shared" si="0"/>
        <v>150</v>
      </c>
      <c r="BG13" s="78"/>
      <c r="BH13" s="78">
        <f t="shared" ref="BH13:BH21" si="4">+IF(BD13="",BG13+BH12,BH12)</f>
        <v>0</v>
      </c>
      <c r="BI13" s="79">
        <f t="shared" ref="BI13:BI21" si="5">+IF(BF13=0,0,BH13/BF13)</f>
        <v>0</v>
      </c>
      <c r="BJ13" s="80">
        <f t="shared" ref="BJ13:BJ22" si="6">+BI13-BI12</f>
        <v>0</v>
      </c>
      <c r="BK13" s="81"/>
      <c r="BL13" s="82">
        <f t="shared" si="1"/>
        <v>50</v>
      </c>
      <c r="BM13" s="83">
        <f t="shared" si="2"/>
        <v>0</v>
      </c>
      <c r="BN13" s="80">
        <f t="shared" si="3"/>
        <v>0</v>
      </c>
    </row>
    <row r="14" spans="2:66" ht="15.75" x14ac:dyDescent="0.25">
      <c r="B14" s="51" t="s">
        <v>378</v>
      </c>
      <c r="C14" s="51" t="s">
        <v>223</v>
      </c>
      <c r="E14" s="51" t="s">
        <v>251</v>
      </c>
      <c r="F14" s="51" t="s">
        <v>31</v>
      </c>
      <c r="G14" s="51" t="s">
        <v>207</v>
      </c>
      <c r="H14" s="51" t="s">
        <v>271</v>
      </c>
      <c r="I14" s="51" t="s">
        <v>271</v>
      </c>
      <c r="J14" s="51" t="s">
        <v>271</v>
      </c>
      <c r="K14" s="51" t="s">
        <v>271</v>
      </c>
      <c r="L14" s="51" t="s">
        <v>271</v>
      </c>
      <c r="M14" s="51" t="s">
        <v>176</v>
      </c>
      <c r="N14" s="51" t="s">
        <v>176</v>
      </c>
      <c r="O14" s="51" t="s">
        <v>176</v>
      </c>
      <c r="P14" s="51" t="s">
        <v>176</v>
      </c>
      <c r="Q14" s="51" t="s">
        <v>176</v>
      </c>
      <c r="R14" s="57"/>
      <c r="S14" s="51" t="s">
        <v>244</v>
      </c>
      <c r="T14" s="51" t="s">
        <v>138</v>
      </c>
      <c r="U14" s="51" t="s">
        <v>16</v>
      </c>
      <c r="V14" s="51" t="s">
        <v>159</v>
      </c>
      <c r="W14" s="51">
        <v>0.72222222222222221</v>
      </c>
      <c r="X14" s="51" t="s">
        <v>142</v>
      </c>
      <c r="AA14" s="51" t="s">
        <v>86</v>
      </c>
      <c r="AB14" s="51" t="s">
        <v>84</v>
      </c>
      <c r="AC14" s="51" t="s">
        <v>83</v>
      </c>
      <c r="AD14" s="51">
        <v>21</v>
      </c>
      <c r="AE14" s="51">
        <v>5</v>
      </c>
      <c r="AF14" s="51">
        <v>32</v>
      </c>
      <c r="AH14" s="70" t="s">
        <v>159</v>
      </c>
      <c r="AI14" s="51" t="s">
        <v>631</v>
      </c>
      <c r="AJ14" s="51" t="s">
        <v>638</v>
      </c>
      <c r="AK14" s="51">
        <v>3</v>
      </c>
      <c r="AR14" s="51" t="s">
        <v>585</v>
      </c>
      <c r="AS14" s="71">
        <v>3</v>
      </c>
      <c r="AT14" s="71" t="s">
        <v>449</v>
      </c>
      <c r="AU14" s="71" t="s">
        <v>624</v>
      </c>
      <c r="AV14" s="72" t="s">
        <v>446</v>
      </c>
      <c r="AZ14" s="84"/>
      <c r="BA14" s="84" t="s">
        <v>585</v>
      </c>
      <c r="BB14" s="85" t="s">
        <v>449</v>
      </c>
      <c r="BC14" s="86">
        <f>+DimAccountReconc.[[#This Row],[SortIndex]]</f>
        <v>3</v>
      </c>
      <c r="BD14" s="87" t="s">
        <v>446</v>
      </c>
      <c r="BE14" s="88"/>
      <c r="BF14" s="89">
        <f>+IF(BD14="",BE14+BF13,BF13)</f>
        <v>150</v>
      </c>
      <c r="BG14" s="89"/>
      <c r="BH14" s="89">
        <f t="shared" si="4"/>
        <v>0</v>
      </c>
      <c r="BI14" s="90">
        <f t="shared" si="5"/>
        <v>0</v>
      </c>
      <c r="BJ14" s="91">
        <f t="shared" si="6"/>
        <v>0</v>
      </c>
      <c r="BL14" s="92">
        <f t="shared" si="1"/>
        <v>150</v>
      </c>
      <c r="BM14" s="93">
        <f t="shared" si="2"/>
        <v>950</v>
      </c>
      <c r="BN14" s="91">
        <f t="shared" si="3"/>
        <v>6.333333333333333</v>
      </c>
    </row>
    <row r="15" spans="2:66" ht="15.75" x14ac:dyDescent="0.25">
      <c r="B15" s="51" t="s">
        <v>236</v>
      </c>
      <c r="C15" s="51" t="s">
        <v>4</v>
      </c>
      <c r="E15" s="51" t="s">
        <v>447</v>
      </c>
      <c r="F15" s="51" t="s">
        <v>31</v>
      </c>
      <c r="G15" s="51" t="s">
        <v>206</v>
      </c>
      <c r="H15" s="51" t="s">
        <v>271</v>
      </c>
      <c r="I15" s="51" t="s">
        <v>271</v>
      </c>
      <c r="J15" s="51" t="s">
        <v>271</v>
      </c>
      <c r="K15" s="51" t="s">
        <v>271</v>
      </c>
      <c r="L15" s="51" t="s">
        <v>271</v>
      </c>
      <c r="M15" s="51" t="s">
        <v>176</v>
      </c>
      <c r="N15" s="51" t="s">
        <v>176</v>
      </c>
      <c r="O15" s="51" t="s">
        <v>176</v>
      </c>
      <c r="P15" s="51" t="s">
        <v>176</v>
      </c>
      <c r="Q15" s="51" t="s">
        <v>176</v>
      </c>
      <c r="R15" s="57"/>
      <c r="S15" s="51" t="s">
        <v>244</v>
      </c>
      <c r="T15" s="51" t="s">
        <v>138</v>
      </c>
      <c r="U15" s="51" t="s">
        <v>16</v>
      </c>
      <c r="V15" s="51" t="s">
        <v>160</v>
      </c>
      <c r="W15" s="51">
        <v>0.71664829106945971</v>
      </c>
      <c r="X15" s="51" t="s">
        <v>142</v>
      </c>
      <c r="Y15" s="51" t="s">
        <v>448</v>
      </c>
      <c r="AA15" s="51" t="s">
        <v>87</v>
      </c>
      <c r="AB15" s="51" t="s">
        <v>84</v>
      </c>
      <c r="AC15" s="51" t="s">
        <v>83</v>
      </c>
      <c r="AD15" s="51">
        <v>21</v>
      </c>
      <c r="AE15" s="51">
        <v>5</v>
      </c>
      <c r="AF15" s="51">
        <v>33</v>
      </c>
      <c r="AH15" s="70" t="s">
        <v>160</v>
      </c>
      <c r="AI15" s="51" t="s">
        <v>632</v>
      </c>
      <c r="AJ15" s="51" t="s">
        <v>639</v>
      </c>
      <c r="AK15" s="51">
        <v>2</v>
      </c>
      <c r="AR15" s="51" t="s">
        <v>35</v>
      </c>
      <c r="AS15" s="71">
        <v>4</v>
      </c>
      <c r="AT15" s="71" t="s">
        <v>449</v>
      </c>
      <c r="AU15" s="71"/>
      <c r="AV15" s="94"/>
      <c r="AZ15" s="73"/>
      <c r="BA15" s="73" t="s">
        <v>35</v>
      </c>
      <c r="BB15" s="74" t="s">
        <v>449</v>
      </c>
      <c r="BC15" s="75">
        <f>+DimAccountReconc.[[#This Row],[SortIndex]]</f>
        <v>4</v>
      </c>
      <c r="BD15" s="76"/>
      <c r="BE15" s="77"/>
      <c r="BF15" s="78">
        <f t="shared" ref="BF15:BF21" si="7">+IF(BD15="",BE15+BF14,BF14)</f>
        <v>150</v>
      </c>
      <c r="BG15" s="78">
        <v>500</v>
      </c>
      <c r="BH15" s="78">
        <f t="shared" si="4"/>
        <v>500</v>
      </c>
      <c r="BI15" s="79">
        <f t="shared" si="5"/>
        <v>3.3333333333333335</v>
      </c>
      <c r="BJ15" s="80">
        <f t="shared" si="6"/>
        <v>3.3333333333333335</v>
      </c>
      <c r="BK15" s="81"/>
      <c r="BL15" s="82">
        <f t="shared" si="1"/>
        <v>0</v>
      </c>
      <c r="BM15" s="83">
        <f t="shared" si="2"/>
        <v>500</v>
      </c>
      <c r="BN15" s="80">
        <f t="shared" si="3"/>
        <v>3.3333333333333335</v>
      </c>
    </row>
    <row r="16" spans="2:66" x14ac:dyDescent="0.25">
      <c r="B16" s="51" t="s">
        <v>218</v>
      </c>
      <c r="C16" s="51" t="s">
        <v>4</v>
      </c>
      <c r="E16" s="51" t="s">
        <v>250</v>
      </c>
      <c r="F16" s="51" t="s">
        <v>31</v>
      </c>
      <c r="G16" s="51" t="s">
        <v>207</v>
      </c>
      <c r="H16" s="51" t="s">
        <v>271</v>
      </c>
      <c r="I16" s="51" t="s">
        <v>271</v>
      </c>
      <c r="J16" s="51" t="s">
        <v>271</v>
      </c>
      <c r="K16" s="51" t="s">
        <v>271</v>
      </c>
      <c r="L16" s="51" t="s">
        <v>271</v>
      </c>
      <c r="M16" s="51" t="s">
        <v>176</v>
      </c>
      <c r="N16" s="51" t="s">
        <v>176</v>
      </c>
      <c r="O16" s="51" t="s">
        <v>176</v>
      </c>
      <c r="P16" s="51" t="s">
        <v>176</v>
      </c>
      <c r="Q16" s="51" t="s">
        <v>176</v>
      </c>
      <c r="S16" s="51" t="s">
        <v>320</v>
      </c>
      <c r="T16" s="51" t="s">
        <v>139</v>
      </c>
      <c r="U16" s="51" t="s">
        <v>140</v>
      </c>
      <c r="V16" s="51" t="s">
        <v>157</v>
      </c>
      <c r="W16" s="51">
        <v>1</v>
      </c>
      <c r="X16" s="51" t="s">
        <v>142</v>
      </c>
      <c r="AA16" s="51" t="s">
        <v>147</v>
      </c>
      <c r="AB16" s="51" t="s">
        <v>142</v>
      </c>
      <c r="AC16" s="51" t="s">
        <v>141</v>
      </c>
      <c r="AD16" s="51">
        <v>1</v>
      </c>
      <c r="AE16" s="51">
        <v>1</v>
      </c>
      <c r="AF16" s="51">
        <v>5</v>
      </c>
      <c r="AH16" s="70" t="s">
        <v>157</v>
      </c>
      <c r="AI16" s="51" t="s">
        <v>633</v>
      </c>
      <c r="AJ16" s="51" t="s">
        <v>640</v>
      </c>
      <c r="AK16" s="51">
        <v>5</v>
      </c>
      <c r="AR16" s="51" t="s">
        <v>36</v>
      </c>
      <c r="AS16" s="71">
        <v>5</v>
      </c>
      <c r="AT16" s="71" t="s">
        <v>449</v>
      </c>
      <c r="AU16" s="71"/>
      <c r="AV16" s="94"/>
      <c r="AZ16" s="73"/>
      <c r="BA16" s="73" t="s">
        <v>36</v>
      </c>
      <c r="BB16" s="74" t="s">
        <v>449</v>
      </c>
      <c r="BC16" s="75">
        <f>+DimAccountReconc.[[#This Row],[SortIndex]]</f>
        <v>5</v>
      </c>
      <c r="BD16" s="76"/>
      <c r="BE16" s="77"/>
      <c r="BF16" s="78">
        <f t="shared" si="7"/>
        <v>150</v>
      </c>
      <c r="BG16" s="78">
        <v>400</v>
      </c>
      <c r="BH16" s="78">
        <f t="shared" si="4"/>
        <v>900</v>
      </c>
      <c r="BI16" s="79">
        <f t="shared" si="5"/>
        <v>6</v>
      </c>
      <c r="BJ16" s="80">
        <f t="shared" si="6"/>
        <v>2.6666666666666665</v>
      </c>
      <c r="BK16" s="81"/>
      <c r="BL16" s="82">
        <f t="shared" si="1"/>
        <v>0</v>
      </c>
      <c r="BM16" s="83">
        <f t="shared" si="2"/>
        <v>400</v>
      </c>
      <c r="BN16" s="80">
        <f t="shared" si="3"/>
        <v>2.6666666666666665</v>
      </c>
    </row>
    <row r="17" spans="2:66" x14ac:dyDescent="0.25">
      <c r="B17" s="51" t="s">
        <v>196</v>
      </c>
      <c r="C17" s="51" t="s">
        <v>4</v>
      </c>
      <c r="E17" s="51" t="s">
        <v>451</v>
      </c>
      <c r="F17" s="51" t="s">
        <v>31</v>
      </c>
      <c r="G17" s="51" t="s">
        <v>206</v>
      </c>
      <c r="H17" s="51" t="s">
        <v>271</v>
      </c>
      <c r="I17" s="51" t="s">
        <v>271</v>
      </c>
      <c r="J17" s="51" t="s">
        <v>271</v>
      </c>
      <c r="K17" s="51" t="s">
        <v>271</v>
      </c>
      <c r="L17" s="51" t="s">
        <v>245</v>
      </c>
      <c r="M17" s="51" t="s">
        <v>176</v>
      </c>
      <c r="N17" s="51" t="s">
        <v>176</v>
      </c>
      <c r="O17" s="51" t="s">
        <v>176</v>
      </c>
      <c r="P17" s="51" t="s">
        <v>176</v>
      </c>
      <c r="Q17" s="51" t="s">
        <v>176</v>
      </c>
      <c r="S17" s="51" t="s">
        <v>320</v>
      </c>
      <c r="T17" s="51" t="s">
        <v>139</v>
      </c>
      <c r="U17" s="51" t="s">
        <v>140</v>
      </c>
      <c r="V17" s="51" t="s">
        <v>158</v>
      </c>
      <c r="W17" s="51">
        <v>1</v>
      </c>
      <c r="X17" s="51" t="s">
        <v>142</v>
      </c>
      <c r="AA17" s="51" t="s">
        <v>153</v>
      </c>
      <c r="AB17" s="51" t="s">
        <v>152</v>
      </c>
      <c r="AC17" s="51" t="s">
        <v>141</v>
      </c>
      <c r="AD17" s="51">
        <v>3</v>
      </c>
      <c r="AE17" s="51">
        <v>1</v>
      </c>
      <c r="AF17" s="51">
        <v>9</v>
      </c>
      <c r="AH17" s="70" t="s">
        <v>162</v>
      </c>
      <c r="AI17" s="51" t="s">
        <v>634</v>
      </c>
      <c r="AJ17" s="51" t="s">
        <v>641</v>
      </c>
      <c r="AK17" s="51">
        <v>6</v>
      </c>
      <c r="AR17" s="51" t="s">
        <v>37</v>
      </c>
      <c r="AS17" s="71">
        <v>6</v>
      </c>
      <c r="AT17" s="71" t="s">
        <v>449</v>
      </c>
      <c r="AU17" s="71"/>
      <c r="AV17" s="94"/>
      <c r="AZ17" s="73"/>
      <c r="BA17" s="73" t="s">
        <v>37</v>
      </c>
      <c r="BB17" s="74" t="s">
        <v>449</v>
      </c>
      <c r="BC17" s="75">
        <f>+DimAccountReconc.[[#This Row],[SortIndex]]</f>
        <v>6</v>
      </c>
      <c r="BD17" s="76"/>
      <c r="BE17" s="77"/>
      <c r="BF17" s="78">
        <f t="shared" si="7"/>
        <v>150</v>
      </c>
      <c r="BG17" s="78">
        <v>50</v>
      </c>
      <c r="BH17" s="78">
        <f t="shared" si="4"/>
        <v>950</v>
      </c>
      <c r="BI17" s="79">
        <f t="shared" si="5"/>
        <v>6.333333333333333</v>
      </c>
      <c r="BJ17" s="80">
        <f t="shared" si="6"/>
        <v>0.33333333333333304</v>
      </c>
      <c r="BK17" s="81"/>
      <c r="BL17" s="82">
        <f t="shared" si="1"/>
        <v>0</v>
      </c>
      <c r="BM17" s="83">
        <f t="shared" si="2"/>
        <v>50</v>
      </c>
      <c r="BN17" s="80">
        <f t="shared" si="3"/>
        <v>0.33333333333333304</v>
      </c>
    </row>
    <row r="18" spans="2:66" x14ac:dyDescent="0.25">
      <c r="B18" s="51" t="s">
        <v>197</v>
      </c>
      <c r="C18" s="51" t="s">
        <v>4</v>
      </c>
      <c r="E18" s="51" t="s">
        <v>6</v>
      </c>
      <c r="F18" s="51" t="s">
        <v>31</v>
      </c>
      <c r="G18" s="51" t="s">
        <v>207</v>
      </c>
      <c r="H18" s="51" t="s">
        <v>238</v>
      </c>
      <c r="I18" s="51" t="s">
        <v>271</v>
      </c>
      <c r="J18" s="51" t="s">
        <v>271</v>
      </c>
      <c r="K18" s="51" t="s">
        <v>271</v>
      </c>
      <c r="L18" s="51" t="s">
        <v>271</v>
      </c>
      <c r="M18" s="51" t="s">
        <v>398</v>
      </c>
      <c r="N18" s="51" t="s">
        <v>176</v>
      </c>
      <c r="O18" s="51" t="s">
        <v>176</v>
      </c>
      <c r="P18" s="51" t="s">
        <v>176</v>
      </c>
      <c r="Q18" s="51" t="s">
        <v>176</v>
      </c>
      <c r="S18" s="51" t="s">
        <v>320</v>
      </c>
      <c r="T18" s="51" t="s">
        <v>139</v>
      </c>
      <c r="U18" s="51" t="s">
        <v>139</v>
      </c>
      <c r="V18" s="51" t="s">
        <v>159</v>
      </c>
      <c r="W18" s="51">
        <v>1</v>
      </c>
      <c r="X18" s="51" t="s">
        <v>142</v>
      </c>
      <c r="Y18" s="51" t="s">
        <v>452</v>
      </c>
      <c r="AA18" s="51" t="s">
        <v>154</v>
      </c>
      <c r="AB18" s="51" t="s">
        <v>152</v>
      </c>
      <c r="AC18" s="51" t="s">
        <v>141</v>
      </c>
      <c r="AD18" s="51">
        <v>3</v>
      </c>
      <c r="AE18" s="51">
        <v>1</v>
      </c>
      <c r="AF18" s="51">
        <v>10</v>
      </c>
      <c r="AR18" s="51" t="s">
        <v>449</v>
      </c>
      <c r="AS18" s="71">
        <v>7</v>
      </c>
      <c r="AT18" s="71" t="s">
        <v>591</v>
      </c>
      <c r="AU18" s="71" t="s">
        <v>625</v>
      </c>
      <c r="AV18" s="94" t="s">
        <v>446</v>
      </c>
      <c r="AZ18" s="95" t="s">
        <v>446</v>
      </c>
      <c r="BA18" s="95" t="s">
        <v>449</v>
      </c>
      <c r="BB18" s="96" t="s">
        <v>449</v>
      </c>
      <c r="BC18" s="97">
        <f>+DimAccountReconc.[[#This Row],[SortIndex]]</f>
        <v>7</v>
      </c>
      <c r="BD18" s="98" t="s">
        <v>446</v>
      </c>
      <c r="BE18" s="99"/>
      <c r="BF18" s="100">
        <f t="shared" si="7"/>
        <v>150</v>
      </c>
      <c r="BG18" s="100"/>
      <c r="BH18" s="100">
        <f t="shared" si="4"/>
        <v>950</v>
      </c>
      <c r="BI18" s="101">
        <f t="shared" si="5"/>
        <v>6.333333333333333</v>
      </c>
      <c r="BJ18" s="102">
        <f t="shared" si="6"/>
        <v>0</v>
      </c>
      <c r="BK18" s="95"/>
      <c r="BL18" s="103">
        <f t="shared" si="1"/>
        <v>150</v>
      </c>
      <c r="BM18" s="104">
        <f t="shared" si="2"/>
        <v>950</v>
      </c>
      <c r="BN18" s="102">
        <f t="shared" si="3"/>
        <v>6.333333333333333</v>
      </c>
    </row>
    <row r="19" spans="2:66" x14ac:dyDescent="0.25">
      <c r="B19" s="51" t="s">
        <v>373</v>
      </c>
      <c r="C19" s="51" t="s">
        <v>223</v>
      </c>
      <c r="E19" s="51" t="s">
        <v>249</v>
      </c>
      <c r="F19" s="51" t="s">
        <v>31</v>
      </c>
      <c r="G19" s="51" t="s">
        <v>207</v>
      </c>
      <c r="H19" s="51" t="s">
        <v>271</v>
      </c>
      <c r="I19" s="51" t="s">
        <v>271</v>
      </c>
      <c r="J19" s="51" t="s">
        <v>271</v>
      </c>
      <c r="K19" s="51" t="s">
        <v>271</v>
      </c>
      <c r="L19" s="51" t="s">
        <v>271</v>
      </c>
      <c r="M19" s="51" t="s">
        <v>176</v>
      </c>
      <c r="N19" s="51" t="s">
        <v>176</v>
      </c>
      <c r="O19" s="51" t="s">
        <v>176</v>
      </c>
      <c r="P19" s="51" t="s">
        <v>176</v>
      </c>
      <c r="Q19" s="51" t="s">
        <v>176</v>
      </c>
      <c r="S19" s="51" t="s">
        <v>239</v>
      </c>
      <c r="T19" s="51" t="s">
        <v>17</v>
      </c>
      <c r="U19" s="51" t="s">
        <v>17</v>
      </c>
      <c r="V19" s="51" t="s">
        <v>157</v>
      </c>
      <c r="W19" s="51">
        <v>1</v>
      </c>
      <c r="X19" s="51" t="s">
        <v>142</v>
      </c>
      <c r="AA19" s="51" t="s">
        <v>155</v>
      </c>
      <c r="AB19" s="51" t="s">
        <v>152</v>
      </c>
      <c r="AC19" s="51" t="s">
        <v>141</v>
      </c>
      <c r="AD19" s="51">
        <v>3</v>
      </c>
      <c r="AE19" s="51">
        <v>1</v>
      </c>
      <c r="AF19" s="51">
        <v>11</v>
      </c>
      <c r="AR19" s="51" t="s">
        <v>400</v>
      </c>
      <c r="AS19" s="71">
        <v>8</v>
      </c>
      <c r="AT19" s="71" t="s">
        <v>591</v>
      </c>
      <c r="AU19" s="71"/>
      <c r="AV19" s="72"/>
      <c r="AZ19" s="105"/>
      <c r="BA19" s="105" t="s">
        <v>400</v>
      </c>
      <c r="BB19" s="106" t="s">
        <v>591</v>
      </c>
      <c r="BC19" s="107">
        <f>+DimAccountReconc.[[#This Row],[SortIndex]]</f>
        <v>8</v>
      </c>
      <c r="BD19" s="108"/>
      <c r="BE19" s="109">
        <v>50</v>
      </c>
      <c r="BF19" s="110">
        <f t="shared" si="7"/>
        <v>200</v>
      </c>
      <c r="BG19" s="110"/>
      <c r="BH19" s="110">
        <f t="shared" si="4"/>
        <v>950</v>
      </c>
      <c r="BI19" s="111">
        <f t="shared" si="5"/>
        <v>4.75</v>
      </c>
      <c r="BJ19" s="112">
        <f t="shared" si="6"/>
        <v>-1.583333333333333</v>
      </c>
      <c r="BK19" s="113"/>
      <c r="BL19" s="114">
        <f t="shared" si="1"/>
        <v>50</v>
      </c>
      <c r="BM19" s="115">
        <f t="shared" si="2"/>
        <v>0</v>
      </c>
      <c r="BN19" s="112">
        <f t="shared" si="3"/>
        <v>-1.583333333333333</v>
      </c>
    </row>
    <row r="20" spans="2:66" x14ac:dyDescent="0.25">
      <c r="B20" s="51" t="s">
        <v>199</v>
      </c>
      <c r="C20" s="51" t="s">
        <v>4</v>
      </c>
      <c r="E20" s="51" t="s">
        <v>453</v>
      </c>
      <c r="F20" s="51" t="s">
        <v>31</v>
      </c>
      <c r="G20" s="51" t="s">
        <v>206</v>
      </c>
      <c r="H20" s="51" t="s">
        <v>271</v>
      </c>
      <c r="I20" s="51" t="s">
        <v>271</v>
      </c>
      <c r="J20" s="51" t="s">
        <v>271</v>
      </c>
      <c r="K20" s="51" t="s">
        <v>271</v>
      </c>
      <c r="L20" s="51" t="s">
        <v>271</v>
      </c>
      <c r="M20" s="51" t="s">
        <v>176</v>
      </c>
      <c r="N20" s="51" t="s">
        <v>176</v>
      </c>
      <c r="O20" s="51" t="s">
        <v>176</v>
      </c>
      <c r="P20" s="51" t="s">
        <v>176</v>
      </c>
      <c r="Q20" s="51" t="s">
        <v>176</v>
      </c>
      <c r="S20" s="51" t="s">
        <v>239</v>
      </c>
      <c r="T20" s="51" t="s">
        <v>17</v>
      </c>
      <c r="U20" s="51" t="s">
        <v>17</v>
      </c>
      <c r="V20" s="51" t="s">
        <v>162</v>
      </c>
      <c r="W20" s="51">
        <v>1</v>
      </c>
      <c r="X20" s="51" t="s">
        <v>142</v>
      </c>
      <c r="AA20" s="51" t="s">
        <v>146</v>
      </c>
      <c r="AB20" s="51" t="s">
        <v>142</v>
      </c>
      <c r="AC20" s="51" t="s">
        <v>141</v>
      </c>
      <c r="AD20" s="51">
        <v>1</v>
      </c>
      <c r="AE20" s="51">
        <v>1</v>
      </c>
      <c r="AF20" s="51">
        <v>4</v>
      </c>
      <c r="AR20" s="51" t="s">
        <v>38</v>
      </c>
      <c r="AS20" s="71">
        <v>9</v>
      </c>
      <c r="AT20" s="71" t="s">
        <v>591</v>
      </c>
      <c r="AU20" s="71"/>
      <c r="AV20" s="94"/>
      <c r="AZ20" s="105"/>
      <c r="BA20" s="105" t="s">
        <v>38</v>
      </c>
      <c r="BB20" s="106" t="s">
        <v>591</v>
      </c>
      <c r="BC20" s="107">
        <f>+DimAccountReconc.[[#This Row],[SortIndex]]</f>
        <v>9</v>
      </c>
      <c r="BD20" s="108"/>
      <c r="BE20" s="109"/>
      <c r="BF20" s="110">
        <f t="shared" si="7"/>
        <v>200</v>
      </c>
      <c r="BG20" s="110">
        <v>500</v>
      </c>
      <c r="BH20" s="110">
        <f t="shared" si="4"/>
        <v>1450</v>
      </c>
      <c r="BI20" s="111">
        <f t="shared" si="5"/>
        <v>7.25</v>
      </c>
      <c r="BJ20" s="112">
        <f t="shared" si="6"/>
        <v>2.5</v>
      </c>
      <c r="BK20" s="113"/>
      <c r="BL20" s="114">
        <f t="shared" si="1"/>
        <v>0</v>
      </c>
      <c r="BM20" s="115">
        <f t="shared" si="2"/>
        <v>500</v>
      </c>
      <c r="BN20" s="112">
        <f t="shared" si="3"/>
        <v>2.5</v>
      </c>
    </row>
    <row r="21" spans="2:66" x14ac:dyDescent="0.25">
      <c r="B21" s="51" t="s">
        <v>203</v>
      </c>
      <c r="C21" s="51" t="s">
        <v>4</v>
      </c>
      <c r="E21" s="51" t="s">
        <v>167</v>
      </c>
      <c r="F21" s="51" t="s">
        <v>31</v>
      </c>
      <c r="G21" s="51" t="s">
        <v>207</v>
      </c>
      <c r="H21" s="51" t="s">
        <v>238</v>
      </c>
      <c r="I21" s="51" t="s">
        <v>238</v>
      </c>
      <c r="J21" s="51" t="s">
        <v>245</v>
      </c>
      <c r="K21" s="51" t="s">
        <v>245</v>
      </c>
      <c r="L21" s="51" t="s">
        <v>245</v>
      </c>
      <c r="M21" s="51" t="s">
        <v>166</v>
      </c>
      <c r="N21" s="51" t="s">
        <v>166</v>
      </c>
      <c r="O21" s="51" t="s">
        <v>166</v>
      </c>
      <c r="P21" s="51" t="s">
        <v>166</v>
      </c>
      <c r="Q21" s="51" t="s">
        <v>166</v>
      </c>
      <c r="S21" s="51" t="s">
        <v>239</v>
      </c>
      <c r="T21" s="51" t="s">
        <v>17</v>
      </c>
      <c r="U21" s="51" t="s">
        <v>17</v>
      </c>
      <c r="V21" s="51" t="s">
        <v>158</v>
      </c>
      <c r="W21" s="51">
        <v>1</v>
      </c>
      <c r="X21" s="51" t="s">
        <v>142</v>
      </c>
      <c r="AA21" s="51" t="s">
        <v>145</v>
      </c>
      <c r="AB21" s="51" t="s">
        <v>142</v>
      </c>
      <c r="AC21" s="51" t="s">
        <v>141</v>
      </c>
      <c r="AD21" s="51">
        <v>1</v>
      </c>
      <c r="AE21" s="51">
        <v>1</v>
      </c>
      <c r="AF21" s="51">
        <v>3</v>
      </c>
      <c r="AR21" s="51" t="s">
        <v>612</v>
      </c>
      <c r="AS21" s="71">
        <v>10</v>
      </c>
      <c r="AT21" s="71" t="s">
        <v>591</v>
      </c>
      <c r="AU21" s="71" t="s">
        <v>625</v>
      </c>
      <c r="AV21" s="94" t="s">
        <v>450</v>
      </c>
      <c r="AZ21" s="116"/>
      <c r="BA21" s="116" t="s">
        <v>591</v>
      </c>
      <c r="BB21" s="117" t="s">
        <v>591</v>
      </c>
      <c r="BC21" s="118">
        <f>+DimAccountReconc.[[#This Row],[SortIndex]]</f>
        <v>10</v>
      </c>
      <c r="BD21" s="119" t="s">
        <v>450</v>
      </c>
      <c r="BE21" s="120"/>
      <c r="BF21" s="121">
        <f t="shared" si="7"/>
        <v>200</v>
      </c>
      <c r="BG21" s="121"/>
      <c r="BH21" s="121">
        <f t="shared" si="4"/>
        <v>1450</v>
      </c>
      <c r="BI21" s="122">
        <f t="shared" si="5"/>
        <v>7.25</v>
      </c>
      <c r="BJ21" s="123">
        <f t="shared" si="6"/>
        <v>0</v>
      </c>
      <c r="BK21" s="116"/>
      <c r="BL21" s="124">
        <f>+IF(BD21="Y",BF21,IF(OR(BD21="A",BD21="B"),SUMIF($BB$12:$BB$38,BB21,$BE$12:$BE$68),BE21))</f>
        <v>50</v>
      </c>
      <c r="BM21" s="125">
        <f>+IF(BD21="Y",BH21,IF(OR(BD21="A",BD21="B"),SUMIF($BB$12:$BB$38,BB21,$BG$12:$BG$38),BG21))</f>
        <v>500</v>
      </c>
      <c r="BN21" s="123">
        <f>+IF(BD21="Y",BM21/BL21,IF(BD21="A",SUMIF($BB$12:$BB$38,BB21,$BJ$12:$BJ$38),IF(BD21="B",SUMIF($BB$12:$BB$38,BB21,$BG$12:$BG$38)/SUMIF($BB$12:$BB$38,BB21,$BE$12:$BE$68),BJ21)))</f>
        <v>10</v>
      </c>
    </row>
    <row r="22" spans="2:66" x14ac:dyDescent="0.25">
      <c r="B22" s="51" t="s">
        <v>205</v>
      </c>
      <c r="C22" s="51" t="s">
        <v>4</v>
      </c>
      <c r="E22" s="51" t="s">
        <v>455</v>
      </c>
      <c r="F22" s="51" t="s">
        <v>31</v>
      </c>
      <c r="G22" s="51" t="s">
        <v>206</v>
      </c>
      <c r="H22" s="51" t="s">
        <v>238</v>
      </c>
      <c r="I22" s="51" t="s">
        <v>238</v>
      </c>
      <c r="J22" s="51" t="s">
        <v>245</v>
      </c>
      <c r="K22" s="51" t="s">
        <v>245</v>
      </c>
      <c r="L22" s="51" t="s">
        <v>245</v>
      </c>
      <c r="M22" s="51" t="s">
        <v>166</v>
      </c>
      <c r="N22" s="51" t="s">
        <v>166</v>
      </c>
      <c r="O22" s="51" t="s">
        <v>166</v>
      </c>
      <c r="P22" s="51" t="s">
        <v>166</v>
      </c>
      <c r="Q22" s="51" t="s">
        <v>166</v>
      </c>
      <c r="S22" s="51" t="s">
        <v>239</v>
      </c>
      <c r="T22" s="51" t="s">
        <v>17</v>
      </c>
      <c r="U22" s="51" t="s">
        <v>17</v>
      </c>
      <c r="V22" s="51" t="s">
        <v>159</v>
      </c>
      <c r="W22" s="51">
        <v>1</v>
      </c>
      <c r="X22" s="51" t="s">
        <v>142</v>
      </c>
      <c r="AA22" s="51" t="s">
        <v>148</v>
      </c>
      <c r="AB22" s="51" t="s">
        <v>142</v>
      </c>
      <c r="AC22" s="51" t="s">
        <v>141</v>
      </c>
      <c r="AD22" s="51">
        <v>1</v>
      </c>
      <c r="AE22" s="51">
        <v>1</v>
      </c>
      <c r="AF22" s="51">
        <v>6</v>
      </c>
      <c r="AR22" s="51" t="s">
        <v>611</v>
      </c>
      <c r="AS22" s="71">
        <v>11</v>
      </c>
      <c r="AT22" s="71" t="s">
        <v>591</v>
      </c>
      <c r="AU22" s="71" t="s">
        <v>627</v>
      </c>
      <c r="AV22" s="72" t="s">
        <v>454</v>
      </c>
      <c r="AZ22" s="55" t="s">
        <v>450</v>
      </c>
      <c r="BA22" s="55" t="s">
        <v>601</v>
      </c>
      <c r="BB22" s="55" t="s">
        <v>591</v>
      </c>
      <c r="BC22" s="126">
        <f>+DimAccountReconc.[[#This Row],[SortIndex]]</f>
        <v>11</v>
      </c>
      <c r="BD22" s="127" t="s">
        <v>446</v>
      </c>
      <c r="BE22" s="128"/>
      <c r="BF22" s="129">
        <f t="shared" ref="BF22" si="8">+IF(BD22="",BE22+BF21,BF21)</f>
        <v>200</v>
      </c>
      <c r="BG22" s="129"/>
      <c r="BH22" s="129">
        <f t="shared" ref="BH22" si="9">+IF(BD22="",BG22+BH21,BH21)</f>
        <v>1450</v>
      </c>
      <c r="BI22" s="130">
        <f t="shared" ref="BI22" si="10">+IF(BF22=0,0,BH22/BF22)</f>
        <v>7.25</v>
      </c>
      <c r="BJ22" s="131">
        <f t="shared" si="6"/>
        <v>0</v>
      </c>
      <c r="BK22" s="55"/>
      <c r="BL22" s="132">
        <f t="shared" ref="BL22:BL38" si="11">+IF(BD22="Y",BF22,IF(OR(BD22="A",BD22="B"),SUMIF($BB$12:$BB$38,BB22,$BE$12:$BE$68),BE22))</f>
        <v>50</v>
      </c>
      <c r="BM22" s="133">
        <f t="shared" ref="BM22:BM38" si="12">+IF(BD22="Y",BH22,IF(OR(BD22="A",BD22="B"),SUMIF($BB$12:$BB$38,BB22,$BG$12:$BG$38),BG22))</f>
        <v>500</v>
      </c>
      <c r="BN22" s="131">
        <f t="shared" ref="BN22:BN38" si="13">+IF(BD22="Y",BM22/BL22,IF(BD22="A",SUMIF($BB$12:$BB$38,BB22,$BJ$12:$BJ$38),IF(BD22="B",SUMIF($BB$12:$BB$38,BB22,$BG$12:$BG$38)/SUMIF($BB$12:$BB$38,BB22,$BE$12:$BE$68),BJ22)))</f>
        <v>0.91666666666666696</v>
      </c>
    </row>
    <row r="23" spans="2:66" x14ac:dyDescent="0.25">
      <c r="B23" s="51" t="s">
        <v>277</v>
      </c>
      <c r="C23" s="51" t="s">
        <v>4</v>
      </c>
      <c r="E23" s="51" t="s">
        <v>269</v>
      </c>
      <c r="F23" s="51" t="s">
        <v>31</v>
      </c>
      <c r="G23" s="51" t="s">
        <v>207</v>
      </c>
      <c r="H23" s="51" t="s">
        <v>271</v>
      </c>
      <c r="I23" s="51" t="s">
        <v>271</v>
      </c>
      <c r="J23" s="51" t="s">
        <v>271</v>
      </c>
      <c r="K23" s="51" t="s">
        <v>271</v>
      </c>
      <c r="L23" s="51" t="s">
        <v>271</v>
      </c>
      <c r="M23" s="51" t="s">
        <v>176</v>
      </c>
      <c r="N23" s="51" t="s">
        <v>176</v>
      </c>
      <c r="O23" s="51" t="s">
        <v>176</v>
      </c>
      <c r="P23" s="51" t="s">
        <v>176</v>
      </c>
      <c r="Q23" s="51" t="s">
        <v>176</v>
      </c>
      <c r="S23" s="51" t="s">
        <v>239</v>
      </c>
      <c r="T23" s="51" t="s">
        <v>17</v>
      </c>
      <c r="U23" s="51" t="s">
        <v>17</v>
      </c>
      <c r="V23" s="51" t="s">
        <v>160</v>
      </c>
      <c r="W23" s="51">
        <v>1</v>
      </c>
      <c r="X23" s="51" t="s">
        <v>142</v>
      </c>
      <c r="AA23" s="51" t="s">
        <v>143</v>
      </c>
      <c r="AB23" s="51" t="s">
        <v>142</v>
      </c>
      <c r="AC23" s="51" t="s">
        <v>141</v>
      </c>
      <c r="AD23" s="51">
        <v>1</v>
      </c>
      <c r="AE23" s="51">
        <v>1</v>
      </c>
      <c r="AF23" s="51">
        <v>1</v>
      </c>
      <c r="AR23" s="51" t="s">
        <v>39</v>
      </c>
      <c r="AS23" s="71">
        <v>12</v>
      </c>
      <c r="AT23" s="71" t="s">
        <v>46</v>
      </c>
      <c r="AU23" s="71" t="s">
        <v>626</v>
      </c>
      <c r="AV23" s="72" t="s">
        <v>446</v>
      </c>
      <c r="AZ23" s="134" t="s">
        <v>598</v>
      </c>
      <c r="BA23" s="134" t="s">
        <v>39</v>
      </c>
      <c r="BB23" s="134"/>
      <c r="BC23" s="135">
        <f>+DimAccountReconc.[[#This Row],[SortIndex]]</f>
        <v>12</v>
      </c>
      <c r="BD23" s="136" t="s">
        <v>238</v>
      </c>
      <c r="BE23" s="137"/>
      <c r="BF23" s="138">
        <f>+IF(BD23="",BE23+BF21,BF21)</f>
        <v>200</v>
      </c>
      <c r="BG23" s="138"/>
      <c r="BH23" s="138">
        <f>+IF(BD23="",BG23+BH21,BH21)</f>
        <v>1450</v>
      </c>
      <c r="BI23" s="139">
        <f t="shared" ref="BI23:BI38" si="14">+IF(BF23=0,0,BH23/BF23)</f>
        <v>7.25</v>
      </c>
      <c r="BJ23" s="140">
        <f>+BI23-BI21</f>
        <v>0</v>
      </c>
      <c r="BK23" s="134"/>
      <c r="BL23" s="141">
        <f t="shared" si="11"/>
        <v>200</v>
      </c>
      <c r="BM23" s="142">
        <f t="shared" si="12"/>
        <v>1450</v>
      </c>
      <c r="BN23" s="140">
        <f t="shared" si="13"/>
        <v>7.25</v>
      </c>
    </row>
    <row r="24" spans="2:66" x14ac:dyDescent="0.25">
      <c r="B24" s="51" t="s">
        <v>208</v>
      </c>
      <c r="C24" s="51" t="s">
        <v>4</v>
      </c>
      <c r="E24" s="51" t="s">
        <v>456</v>
      </c>
      <c r="F24" s="51" t="s">
        <v>31</v>
      </c>
      <c r="G24" s="51" t="s">
        <v>206</v>
      </c>
      <c r="H24" s="51" t="s">
        <v>271</v>
      </c>
      <c r="I24" s="51" t="s">
        <v>271</v>
      </c>
      <c r="J24" s="51" t="s">
        <v>271</v>
      </c>
      <c r="K24" s="51" t="s">
        <v>271</v>
      </c>
      <c r="L24" s="51" t="s">
        <v>271</v>
      </c>
      <c r="M24" s="51" t="s">
        <v>176</v>
      </c>
      <c r="N24" s="51" t="s">
        <v>176</v>
      </c>
      <c r="O24" s="51" t="s">
        <v>176</v>
      </c>
      <c r="P24" s="51" t="s">
        <v>176</v>
      </c>
      <c r="Q24" s="51" t="s">
        <v>176</v>
      </c>
      <c r="S24" s="51" t="s">
        <v>274</v>
      </c>
      <c r="T24" s="51" t="s">
        <v>138</v>
      </c>
      <c r="U24" s="51" t="s">
        <v>275</v>
      </c>
      <c r="V24" s="51" t="s">
        <v>161</v>
      </c>
      <c r="W24" s="51">
        <v>1</v>
      </c>
      <c r="X24" s="51" t="s">
        <v>142</v>
      </c>
      <c r="AA24" s="51" t="s">
        <v>144</v>
      </c>
      <c r="AB24" s="51" t="s">
        <v>142</v>
      </c>
      <c r="AC24" s="51" t="s">
        <v>141</v>
      </c>
      <c r="AD24" s="51">
        <v>1</v>
      </c>
      <c r="AE24" s="51">
        <v>1</v>
      </c>
      <c r="AF24" s="51">
        <v>2</v>
      </c>
      <c r="AR24" s="51" t="s">
        <v>40</v>
      </c>
      <c r="AS24" s="71">
        <v>13</v>
      </c>
      <c r="AT24" s="71" t="s">
        <v>46</v>
      </c>
      <c r="AU24" s="71"/>
      <c r="AV24" s="94"/>
      <c r="AZ24" s="143"/>
      <c r="BA24" s="143" t="s">
        <v>40</v>
      </c>
      <c r="BB24" s="144" t="s">
        <v>46</v>
      </c>
      <c r="BC24" s="145">
        <f>+DimAccountReconc.[[#This Row],[SortIndex]]</f>
        <v>13</v>
      </c>
      <c r="BD24" s="146"/>
      <c r="BE24" s="147"/>
      <c r="BF24" s="148">
        <f t="shared" ref="BF24:BF38" si="15">+IF(BD24="",BE24+BF23,BF23)</f>
        <v>200</v>
      </c>
      <c r="BG24" s="148">
        <v>50</v>
      </c>
      <c r="BH24" s="148">
        <f t="shared" ref="BH24:BH38" si="16">+IF(BD24="",BG24+BH23,BH23)</f>
        <v>1500</v>
      </c>
      <c r="BI24" s="149">
        <f t="shared" si="14"/>
        <v>7.5</v>
      </c>
      <c r="BJ24" s="150">
        <f t="shared" ref="BJ24:BJ37" si="17">+BI24-BI23</f>
        <v>0.25</v>
      </c>
      <c r="BK24" s="151"/>
      <c r="BL24" s="152">
        <f t="shared" si="11"/>
        <v>0</v>
      </c>
      <c r="BM24" s="153">
        <f t="shared" si="12"/>
        <v>50</v>
      </c>
      <c r="BN24" s="150">
        <f t="shared" si="13"/>
        <v>0.25</v>
      </c>
    </row>
    <row r="25" spans="2:66" x14ac:dyDescent="0.25">
      <c r="B25" s="51" t="s">
        <v>371</v>
      </c>
      <c r="C25" s="51" t="s">
        <v>223</v>
      </c>
      <c r="E25" s="51" t="s">
        <v>7</v>
      </c>
      <c r="F25" s="51" t="s">
        <v>194</v>
      </c>
      <c r="G25" s="51" t="s">
        <v>194</v>
      </c>
      <c r="H25" s="51" t="s">
        <v>271</v>
      </c>
      <c r="I25" s="51" t="s">
        <v>271</v>
      </c>
      <c r="J25" s="51" t="s">
        <v>271</v>
      </c>
      <c r="K25" s="51" t="s">
        <v>271</v>
      </c>
      <c r="L25" s="51" t="s">
        <v>271</v>
      </c>
      <c r="M25" s="51" t="s">
        <v>173</v>
      </c>
      <c r="N25" s="51" t="s">
        <v>173</v>
      </c>
      <c r="O25" s="51" t="s">
        <v>173</v>
      </c>
      <c r="P25" s="51" t="s">
        <v>173</v>
      </c>
      <c r="Q25" s="51" t="s">
        <v>173</v>
      </c>
      <c r="S25" s="51" t="s">
        <v>274</v>
      </c>
      <c r="T25" s="51" t="s">
        <v>138</v>
      </c>
      <c r="U25" s="51" t="s">
        <v>275</v>
      </c>
      <c r="V25" s="51" t="s">
        <v>160</v>
      </c>
      <c r="W25" s="51">
        <v>1</v>
      </c>
      <c r="X25" s="51" t="s">
        <v>142</v>
      </c>
      <c r="AA25" s="51" t="s">
        <v>151</v>
      </c>
      <c r="AB25" s="51" t="s">
        <v>150</v>
      </c>
      <c r="AC25" s="51" t="s">
        <v>141</v>
      </c>
      <c r="AD25" s="51">
        <v>2</v>
      </c>
      <c r="AE25" s="51">
        <v>1</v>
      </c>
      <c r="AF25" s="51">
        <v>8</v>
      </c>
      <c r="AR25" s="51" t="s">
        <v>41</v>
      </c>
      <c r="AS25" s="71">
        <v>14</v>
      </c>
      <c r="AT25" s="71" t="s">
        <v>46</v>
      </c>
      <c r="AU25" s="71"/>
      <c r="AV25" s="94"/>
      <c r="AZ25" s="143"/>
      <c r="BA25" s="143" t="s">
        <v>41</v>
      </c>
      <c r="BB25" s="144" t="s">
        <v>46</v>
      </c>
      <c r="BC25" s="145">
        <f>+DimAccountReconc.[[#This Row],[SortIndex]]</f>
        <v>14</v>
      </c>
      <c r="BD25" s="146"/>
      <c r="BE25" s="147"/>
      <c r="BF25" s="148">
        <f t="shared" si="15"/>
        <v>200</v>
      </c>
      <c r="BG25" s="148">
        <v>40</v>
      </c>
      <c r="BH25" s="148">
        <f t="shared" si="16"/>
        <v>1540</v>
      </c>
      <c r="BI25" s="149">
        <f t="shared" si="14"/>
        <v>7.7</v>
      </c>
      <c r="BJ25" s="150">
        <f t="shared" si="17"/>
        <v>0.20000000000000018</v>
      </c>
      <c r="BK25" s="151"/>
      <c r="BL25" s="152">
        <f t="shared" si="11"/>
        <v>0</v>
      </c>
      <c r="BM25" s="153">
        <f t="shared" si="12"/>
        <v>40</v>
      </c>
      <c r="BN25" s="150">
        <f t="shared" si="13"/>
        <v>0.20000000000000018</v>
      </c>
    </row>
    <row r="26" spans="2:66" x14ac:dyDescent="0.25">
      <c r="B26" s="51" t="s">
        <v>209</v>
      </c>
      <c r="C26" s="51" t="s">
        <v>4</v>
      </c>
      <c r="E26" s="51" t="s">
        <v>8</v>
      </c>
      <c r="F26" s="51" t="s">
        <v>194</v>
      </c>
      <c r="G26" s="51" t="s">
        <v>194</v>
      </c>
      <c r="H26" s="51" t="s">
        <v>238</v>
      </c>
      <c r="I26" s="51" t="s">
        <v>245</v>
      </c>
      <c r="J26" s="51" t="s">
        <v>245</v>
      </c>
      <c r="K26" s="51" t="s">
        <v>245</v>
      </c>
      <c r="L26" s="51" t="s">
        <v>245</v>
      </c>
      <c r="M26" s="51" t="s">
        <v>175</v>
      </c>
      <c r="N26" s="51" t="s">
        <v>175</v>
      </c>
      <c r="O26" s="51" t="s">
        <v>175</v>
      </c>
      <c r="P26" s="51" t="s">
        <v>175</v>
      </c>
      <c r="Q26" s="51" t="s">
        <v>175</v>
      </c>
      <c r="S26" s="51" t="s">
        <v>394</v>
      </c>
      <c r="T26" s="51" t="s">
        <v>227</v>
      </c>
      <c r="U26" s="51" t="s">
        <v>227</v>
      </c>
      <c r="V26" s="51" t="s">
        <v>158</v>
      </c>
      <c r="W26" s="51">
        <v>1</v>
      </c>
      <c r="X26" s="51" t="s">
        <v>142</v>
      </c>
      <c r="AA26" s="51" t="s">
        <v>149</v>
      </c>
      <c r="AB26" s="51" t="s">
        <v>142</v>
      </c>
      <c r="AC26" s="51" t="s">
        <v>141</v>
      </c>
      <c r="AD26" s="51">
        <v>1</v>
      </c>
      <c r="AE26" s="51">
        <v>1</v>
      </c>
      <c r="AF26" s="51">
        <v>7</v>
      </c>
      <c r="AR26" s="51" t="s">
        <v>42</v>
      </c>
      <c r="AS26" s="71">
        <v>15</v>
      </c>
      <c r="AT26" s="71" t="s">
        <v>46</v>
      </c>
      <c r="AU26" s="71"/>
      <c r="AV26" s="94"/>
      <c r="AZ26" s="143"/>
      <c r="BA26" s="143" t="s">
        <v>42</v>
      </c>
      <c r="BB26" s="144" t="s">
        <v>46</v>
      </c>
      <c r="BC26" s="145">
        <f>+DimAccountReconc.[[#This Row],[SortIndex]]</f>
        <v>15</v>
      </c>
      <c r="BD26" s="146"/>
      <c r="BE26" s="147"/>
      <c r="BF26" s="148">
        <f t="shared" si="15"/>
        <v>200</v>
      </c>
      <c r="BG26" s="148">
        <v>10</v>
      </c>
      <c r="BH26" s="148">
        <f t="shared" si="16"/>
        <v>1550</v>
      </c>
      <c r="BI26" s="149">
        <f t="shared" si="14"/>
        <v>7.75</v>
      </c>
      <c r="BJ26" s="150">
        <f t="shared" si="17"/>
        <v>4.9999999999999822E-2</v>
      </c>
      <c r="BK26" s="151"/>
      <c r="BL26" s="152">
        <f t="shared" si="11"/>
        <v>0</v>
      </c>
      <c r="BM26" s="153">
        <f t="shared" si="12"/>
        <v>10</v>
      </c>
      <c r="BN26" s="150">
        <f t="shared" si="13"/>
        <v>4.9999999999999822E-2</v>
      </c>
    </row>
    <row r="27" spans="2:66" x14ac:dyDescent="0.25">
      <c r="B27" s="51" t="s">
        <v>372</v>
      </c>
      <c r="C27" s="51" t="s">
        <v>223</v>
      </c>
      <c r="E27" s="51" t="s">
        <v>252</v>
      </c>
      <c r="F27" s="51" t="s">
        <v>194</v>
      </c>
      <c r="G27" s="51" t="s">
        <v>194</v>
      </c>
      <c r="H27" s="51" t="s">
        <v>238</v>
      </c>
      <c r="I27" s="51" t="s">
        <v>245</v>
      </c>
      <c r="J27" s="51" t="s">
        <v>245</v>
      </c>
      <c r="K27" s="51" t="s">
        <v>245</v>
      </c>
      <c r="L27" s="51" t="s">
        <v>245</v>
      </c>
      <c r="M27" s="51" t="s">
        <v>282</v>
      </c>
      <c r="N27" s="51" t="s">
        <v>282</v>
      </c>
      <c r="O27" s="51" t="s">
        <v>282</v>
      </c>
      <c r="P27" s="51" t="s">
        <v>282</v>
      </c>
      <c r="Q27" s="51" t="s">
        <v>282</v>
      </c>
      <c r="S27" s="51" t="s">
        <v>390</v>
      </c>
      <c r="T27" s="51" t="s">
        <v>139</v>
      </c>
      <c r="U27" s="51" t="s">
        <v>140</v>
      </c>
      <c r="V27" s="51" t="s">
        <v>158</v>
      </c>
      <c r="W27" s="51">
        <v>1</v>
      </c>
      <c r="X27" s="51" t="s">
        <v>142</v>
      </c>
      <c r="AA27" s="51" t="s">
        <v>62</v>
      </c>
      <c r="AB27" s="51" t="s">
        <v>61</v>
      </c>
      <c r="AC27" s="51" t="s">
        <v>60</v>
      </c>
      <c r="AD27" s="51">
        <v>10</v>
      </c>
      <c r="AE27" s="51">
        <v>3</v>
      </c>
      <c r="AF27" s="51">
        <v>21</v>
      </c>
      <c r="AR27" s="51" t="s">
        <v>43</v>
      </c>
      <c r="AS27" s="71">
        <v>16</v>
      </c>
      <c r="AT27" s="71" t="s">
        <v>46</v>
      </c>
      <c r="AU27" s="71"/>
      <c r="AV27" s="94"/>
      <c r="AZ27" s="143"/>
      <c r="BA27" s="143" t="s">
        <v>43</v>
      </c>
      <c r="BB27" s="144" t="s">
        <v>46</v>
      </c>
      <c r="BC27" s="145">
        <f>+DimAccountReconc.[[#This Row],[SortIndex]]</f>
        <v>16</v>
      </c>
      <c r="BD27" s="146"/>
      <c r="BE27" s="147"/>
      <c r="BF27" s="148">
        <f t="shared" si="15"/>
        <v>200</v>
      </c>
      <c r="BG27" s="148">
        <v>5</v>
      </c>
      <c r="BH27" s="148">
        <f t="shared" si="16"/>
        <v>1555</v>
      </c>
      <c r="BI27" s="149">
        <f t="shared" si="14"/>
        <v>7.7750000000000004</v>
      </c>
      <c r="BJ27" s="150">
        <f t="shared" si="17"/>
        <v>2.5000000000000355E-2</v>
      </c>
      <c r="BK27" s="151"/>
      <c r="BL27" s="152">
        <f t="shared" si="11"/>
        <v>0</v>
      </c>
      <c r="BM27" s="153">
        <f t="shared" si="12"/>
        <v>5</v>
      </c>
      <c r="BN27" s="150">
        <f t="shared" si="13"/>
        <v>2.5000000000000355E-2</v>
      </c>
    </row>
    <row r="28" spans="2:66" x14ac:dyDescent="0.25">
      <c r="B28" s="51" t="s">
        <v>399</v>
      </c>
      <c r="C28" s="51" t="s">
        <v>223</v>
      </c>
      <c r="E28" s="51" t="s">
        <v>253</v>
      </c>
      <c r="F28" s="51" t="s">
        <v>194</v>
      </c>
      <c r="G28" s="51" t="s">
        <v>194</v>
      </c>
      <c r="H28" s="51" t="s">
        <v>238</v>
      </c>
      <c r="I28" s="51" t="s">
        <v>245</v>
      </c>
      <c r="J28" s="51" t="s">
        <v>245</v>
      </c>
      <c r="K28" s="51" t="s">
        <v>245</v>
      </c>
      <c r="L28" s="51" t="s">
        <v>245</v>
      </c>
      <c r="M28" s="51" t="s">
        <v>282</v>
      </c>
      <c r="N28" s="51" t="s">
        <v>282</v>
      </c>
      <c r="O28" s="51" t="s">
        <v>282</v>
      </c>
      <c r="P28" s="51" t="s">
        <v>282</v>
      </c>
      <c r="Q28" s="51" t="s">
        <v>282</v>
      </c>
      <c r="S28" s="51" t="s">
        <v>390</v>
      </c>
      <c r="T28" s="51" t="s">
        <v>139</v>
      </c>
      <c r="U28" s="51" t="s">
        <v>139</v>
      </c>
      <c r="V28" s="51" t="s">
        <v>159</v>
      </c>
      <c r="W28" s="51">
        <v>1</v>
      </c>
      <c r="X28" s="51" t="s">
        <v>142</v>
      </c>
      <c r="Y28" s="51" t="s">
        <v>452</v>
      </c>
      <c r="AA28" s="51" t="s">
        <v>66</v>
      </c>
      <c r="AB28" s="51" t="s">
        <v>65</v>
      </c>
      <c r="AC28" s="51" t="s">
        <v>60</v>
      </c>
      <c r="AD28" s="51">
        <v>12</v>
      </c>
      <c r="AE28" s="51">
        <v>3</v>
      </c>
      <c r="AF28" s="51">
        <v>23</v>
      </c>
      <c r="AR28" s="51" t="s">
        <v>44</v>
      </c>
      <c r="AS28" s="71">
        <v>17</v>
      </c>
      <c r="AT28" s="71" t="s">
        <v>46</v>
      </c>
      <c r="AU28" s="71"/>
      <c r="AV28" s="94"/>
      <c r="AZ28" s="143"/>
      <c r="BA28" s="143" t="s">
        <v>44</v>
      </c>
      <c r="BB28" s="144" t="s">
        <v>46</v>
      </c>
      <c r="BC28" s="145">
        <f>+DimAccountReconc.[[#This Row],[SortIndex]]</f>
        <v>17</v>
      </c>
      <c r="BD28" s="146"/>
      <c r="BE28" s="147"/>
      <c r="BF28" s="148">
        <f t="shared" si="15"/>
        <v>200</v>
      </c>
      <c r="BG28" s="148">
        <v>5</v>
      </c>
      <c r="BH28" s="148">
        <f t="shared" si="16"/>
        <v>1560</v>
      </c>
      <c r="BI28" s="149">
        <f t="shared" si="14"/>
        <v>7.8</v>
      </c>
      <c r="BJ28" s="150">
        <f t="shared" si="17"/>
        <v>2.4999999999999467E-2</v>
      </c>
      <c r="BK28" s="151"/>
      <c r="BL28" s="152">
        <f t="shared" si="11"/>
        <v>0</v>
      </c>
      <c r="BM28" s="153">
        <f t="shared" si="12"/>
        <v>5</v>
      </c>
      <c r="BN28" s="150">
        <f t="shared" si="13"/>
        <v>2.4999999999999467E-2</v>
      </c>
    </row>
    <row r="29" spans="2:66" x14ac:dyDescent="0.25">
      <c r="B29" s="51" t="s">
        <v>211</v>
      </c>
      <c r="C29" s="51" t="s">
        <v>4</v>
      </c>
      <c r="E29" s="51" t="s">
        <v>254</v>
      </c>
      <c r="F29" s="51" t="s">
        <v>194</v>
      </c>
      <c r="G29" s="51" t="s">
        <v>194</v>
      </c>
      <c r="H29" s="51" t="s">
        <v>238</v>
      </c>
      <c r="I29" s="51" t="s">
        <v>245</v>
      </c>
      <c r="J29" s="51" t="s">
        <v>245</v>
      </c>
      <c r="K29" s="51" t="s">
        <v>245</v>
      </c>
      <c r="L29" s="51" t="s">
        <v>245</v>
      </c>
      <c r="M29" s="51" t="s">
        <v>282</v>
      </c>
      <c r="N29" s="51" t="s">
        <v>282</v>
      </c>
      <c r="O29" s="51" t="s">
        <v>282</v>
      </c>
      <c r="P29" s="51" t="s">
        <v>282</v>
      </c>
      <c r="Q29" s="51" t="s">
        <v>282</v>
      </c>
      <c r="S29" s="51" t="s">
        <v>276</v>
      </c>
      <c r="T29" s="51" t="s">
        <v>138</v>
      </c>
      <c r="U29" s="51" t="s">
        <v>16</v>
      </c>
      <c r="V29" s="51" t="s">
        <v>160</v>
      </c>
      <c r="W29" s="51">
        <v>0.7315950679555</v>
      </c>
      <c r="X29" s="51" t="s">
        <v>142</v>
      </c>
      <c r="AA29" s="51" t="s">
        <v>57</v>
      </c>
      <c r="AB29" s="51" t="s">
        <v>33</v>
      </c>
      <c r="AC29" s="51" t="s">
        <v>32</v>
      </c>
      <c r="AD29" s="51">
        <v>8</v>
      </c>
      <c r="AE29" s="51">
        <v>2</v>
      </c>
      <c r="AF29" s="51">
        <v>19</v>
      </c>
      <c r="AR29" s="51" t="s">
        <v>45</v>
      </c>
      <c r="AS29" s="71">
        <v>18</v>
      </c>
      <c r="AT29" s="71" t="s">
        <v>46</v>
      </c>
      <c r="AU29" s="71"/>
      <c r="AV29" s="94"/>
      <c r="AZ29" s="143"/>
      <c r="BA29" s="143" t="s">
        <v>45</v>
      </c>
      <c r="BB29" s="144" t="s">
        <v>46</v>
      </c>
      <c r="BC29" s="145">
        <f>+DimAccountReconc.[[#This Row],[SortIndex]]</f>
        <v>18</v>
      </c>
      <c r="BD29" s="146"/>
      <c r="BE29" s="147"/>
      <c r="BF29" s="148">
        <f t="shared" si="15"/>
        <v>200</v>
      </c>
      <c r="BG29" s="148">
        <v>5</v>
      </c>
      <c r="BH29" s="148">
        <f t="shared" si="16"/>
        <v>1565</v>
      </c>
      <c r="BI29" s="149">
        <f t="shared" si="14"/>
        <v>7.8250000000000002</v>
      </c>
      <c r="BJ29" s="150">
        <f t="shared" si="17"/>
        <v>2.5000000000000355E-2</v>
      </c>
      <c r="BK29" s="151"/>
      <c r="BL29" s="152">
        <f t="shared" si="11"/>
        <v>0</v>
      </c>
      <c r="BM29" s="153">
        <f t="shared" si="12"/>
        <v>5</v>
      </c>
      <c r="BN29" s="150">
        <f t="shared" si="13"/>
        <v>2.5000000000000355E-2</v>
      </c>
    </row>
    <row r="30" spans="2:66" x14ac:dyDescent="0.25">
      <c r="B30" s="51" t="s">
        <v>308</v>
      </c>
      <c r="C30" s="51" t="s">
        <v>223</v>
      </c>
      <c r="E30" s="51" t="s">
        <v>255</v>
      </c>
      <c r="F30" s="51" t="s">
        <v>194</v>
      </c>
      <c r="G30" s="51" t="s">
        <v>194</v>
      </c>
      <c r="H30" s="51" t="s">
        <v>238</v>
      </c>
      <c r="I30" s="51" t="s">
        <v>245</v>
      </c>
      <c r="J30" s="51" t="s">
        <v>245</v>
      </c>
      <c r="K30" s="51" t="s">
        <v>245</v>
      </c>
      <c r="L30" s="51" t="s">
        <v>245</v>
      </c>
      <c r="M30" s="51" t="s">
        <v>282</v>
      </c>
      <c r="N30" s="51" t="s">
        <v>282</v>
      </c>
      <c r="O30" s="51" t="s">
        <v>282</v>
      </c>
      <c r="P30" s="51" t="s">
        <v>282</v>
      </c>
      <c r="Q30" s="51" t="s">
        <v>282</v>
      </c>
      <c r="S30" s="51" t="s">
        <v>405</v>
      </c>
      <c r="T30" s="51" t="s">
        <v>139</v>
      </c>
      <c r="U30" s="51" t="s">
        <v>139</v>
      </c>
      <c r="V30" s="51" t="s">
        <v>159</v>
      </c>
      <c r="W30" s="51">
        <v>0.71664829106945971</v>
      </c>
      <c r="X30" s="51" t="s">
        <v>142</v>
      </c>
      <c r="Y30" s="51" t="s">
        <v>452</v>
      </c>
      <c r="AA30" s="51" t="s">
        <v>100</v>
      </c>
      <c r="AB30" s="51" t="s">
        <v>99</v>
      </c>
      <c r="AC30" s="51" t="s">
        <v>83</v>
      </c>
      <c r="AD30" s="51">
        <v>22</v>
      </c>
      <c r="AE30" s="51">
        <v>5</v>
      </c>
      <c r="AF30" s="51">
        <v>39</v>
      </c>
      <c r="AR30" s="51" t="s">
        <v>46</v>
      </c>
      <c r="AS30" s="71">
        <v>19</v>
      </c>
      <c r="AT30" s="71" t="s">
        <v>46</v>
      </c>
      <c r="AU30" s="71" t="s">
        <v>625</v>
      </c>
      <c r="AV30" s="94" t="s">
        <v>450</v>
      </c>
      <c r="AZ30" s="154" t="s">
        <v>454</v>
      </c>
      <c r="BA30" s="154" t="s">
        <v>46</v>
      </c>
      <c r="BB30" s="155" t="s">
        <v>46</v>
      </c>
      <c r="BC30" s="156">
        <f>+DimAccountReconc.[[#This Row],[SortIndex]]</f>
        <v>19</v>
      </c>
      <c r="BD30" s="157" t="s">
        <v>446</v>
      </c>
      <c r="BE30" s="158"/>
      <c r="BF30" s="159">
        <f t="shared" si="15"/>
        <v>200</v>
      </c>
      <c r="BG30" s="159"/>
      <c r="BH30" s="159">
        <f t="shared" si="16"/>
        <v>1565</v>
      </c>
      <c r="BI30" s="160">
        <f t="shared" si="14"/>
        <v>7.8250000000000002</v>
      </c>
      <c r="BJ30" s="161">
        <f t="shared" si="17"/>
        <v>0</v>
      </c>
      <c r="BK30" s="154"/>
      <c r="BL30" s="162">
        <f t="shared" si="11"/>
        <v>0</v>
      </c>
      <c r="BM30" s="163">
        <f t="shared" si="12"/>
        <v>115</v>
      </c>
      <c r="BN30" s="161">
        <f t="shared" si="13"/>
        <v>0.57500000000000018</v>
      </c>
    </row>
    <row r="31" spans="2:66" x14ac:dyDescent="0.25">
      <c r="B31" s="51" t="s">
        <v>374</v>
      </c>
      <c r="C31" s="51" t="s">
        <v>223</v>
      </c>
      <c r="E31" s="51" t="s">
        <v>178</v>
      </c>
      <c r="F31" s="51" t="s">
        <v>194</v>
      </c>
      <c r="G31" s="51" t="s">
        <v>194</v>
      </c>
      <c r="H31" s="51" t="s">
        <v>238</v>
      </c>
      <c r="I31" s="51" t="s">
        <v>238</v>
      </c>
      <c r="J31" s="51" t="s">
        <v>238</v>
      </c>
      <c r="K31" s="51" t="s">
        <v>245</v>
      </c>
      <c r="L31" s="51" t="s">
        <v>245</v>
      </c>
      <c r="M31" s="51" t="s">
        <v>37</v>
      </c>
      <c r="N31" s="51" t="s">
        <v>38</v>
      </c>
      <c r="O31" s="51" t="s">
        <v>45</v>
      </c>
      <c r="P31" s="51" t="s">
        <v>231</v>
      </c>
      <c r="Q31" s="51" t="s">
        <v>175</v>
      </c>
      <c r="S31" s="51" t="s">
        <v>273</v>
      </c>
      <c r="T31" s="51" t="s">
        <v>138</v>
      </c>
      <c r="U31" s="51" t="s">
        <v>16</v>
      </c>
      <c r="V31" s="51" t="s">
        <v>158</v>
      </c>
      <c r="W31" s="51">
        <v>0.71664829106945971</v>
      </c>
      <c r="X31" s="51" t="s">
        <v>142</v>
      </c>
      <c r="AA31" s="51" t="s">
        <v>56</v>
      </c>
      <c r="AB31" s="51" t="s">
        <v>55</v>
      </c>
      <c r="AC31" s="51" t="s">
        <v>32</v>
      </c>
      <c r="AD31" s="51">
        <v>8</v>
      </c>
      <c r="AE31" s="51">
        <v>2</v>
      </c>
      <c r="AF31" s="51">
        <v>18</v>
      </c>
      <c r="AR31" s="51" t="s">
        <v>47</v>
      </c>
      <c r="AS31" s="71">
        <v>20</v>
      </c>
      <c r="AT31" s="71" t="s">
        <v>459</v>
      </c>
      <c r="AU31" s="71" t="s">
        <v>626</v>
      </c>
      <c r="AV31" s="94" t="s">
        <v>446</v>
      </c>
      <c r="AW31" s="164"/>
      <c r="AX31" s="164"/>
      <c r="AY31" s="164"/>
      <c r="AZ31" s="134" t="s">
        <v>599</v>
      </c>
      <c r="BA31" s="134" t="s">
        <v>47</v>
      </c>
      <c r="BB31" s="134"/>
      <c r="BC31" s="135">
        <f>+DimAccountReconc.[[#This Row],[SortIndex]]</f>
        <v>20</v>
      </c>
      <c r="BD31" s="136" t="s">
        <v>238</v>
      </c>
      <c r="BE31" s="137"/>
      <c r="BF31" s="138">
        <f t="shared" si="15"/>
        <v>200</v>
      </c>
      <c r="BG31" s="138"/>
      <c r="BH31" s="138">
        <f t="shared" si="16"/>
        <v>1565</v>
      </c>
      <c r="BI31" s="139">
        <f t="shared" si="14"/>
        <v>7.8250000000000002</v>
      </c>
      <c r="BJ31" s="140">
        <f t="shared" si="17"/>
        <v>0</v>
      </c>
      <c r="BK31" s="134"/>
      <c r="BL31" s="141">
        <f t="shared" si="11"/>
        <v>200</v>
      </c>
      <c r="BM31" s="142">
        <f t="shared" si="12"/>
        <v>1565</v>
      </c>
      <c r="BN31" s="140">
        <f t="shared" si="13"/>
        <v>7.8250000000000002</v>
      </c>
    </row>
    <row r="32" spans="2:66" x14ac:dyDescent="0.25">
      <c r="B32" s="51" t="s">
        <v>316</v>
      </c>
      <c r="C32" s="51" t="s">
        <v>223</v>
      </c>
      <c r="E32" s="51" t="s">
        <v>256</v>
      </c>
      <c r="F32" s="51" t="s">
        <v>194</v>
      </c>
      <c r="G32" s="51" t="s">
        <v>194</v>
      </c>
      <c r="H32" s="51" t="s">
        <v>238</v>
      </c>
      <c r="I32" s="51" t="s">
        <v>238</v>
      </c>
      <c r="J32" s="51" t="s">
        <v>238</v>
      </c>
      <c r="K32" s="51" t="s">
        <v>245</v>
      </c>
      <c r="L32" s="51" t="s">
        <v>245</v>
      </c>
      <c r="M32" s="51" t="s">
        <v>35</v>
      </c>
      <c r="N32" s="51" t="s">
        <v>44</v>
      </c>
      <c r="O32" s="51" t="s">
        <v>45</v>
      </c>
      <c r="P32" s="51" t="s">
        <v>231</v>
      </c>
      <c r="Q32" s="51" t="s">
        <v>175</v>
      </c>
      <c r="S32" s="51" t="s">
        <v>273</v>
      </c>
      <c r="T32" s="51" t="s">
        <v>138</v>
      </c>
      <c r="U32" s="51" t="s">
        <v>16</v>
      </c>
      <c r="V32" s="51" t="s">
        <v>160</v>
      </c>
      <c r="W32" s="51">
        <v>0.77512499999999995</v>
      </c>
      <c r="X32" s="51" t="s">
        <v>142</v>
      </c>
      <c r="AA32" s="51" t="s">
        <v>70</v>
      </c>
      <c r="AB32" s="51" t="s">
        <v>69</v>
      </c>
      <c r="AC32" s="51" t="s">
        <v>60</v>
      </c>
      <c r="AD32" s="51">
        <v>14</v>
      </c>
      <c r="AE32" s="51">
        <v>3</v>
      </c>
      <c r="AF32" s="51">
        <v>25</v>
      </c>
      <c r="AR32" s="51" t="s">
        <v>608</v>
      </c>
      <c r="AS32" s="71">
        <v>21</v>
      </c>
      <c r="AT32" s="71" t="s">
        <v>459</v>
      </c>
      <c r="AU32" s="71"/>
      <c r="AV32" s="94"/>
      <c r="AW32" s="165"/>
      <c r="AX32" s="165"/>
      <c r="AY32" s="165"/>
      <c r="AZ32" s="166"/>
      <c r="BA32" s="166" t="s">
        <v>458</v>
      </c>
      <c r="BB32" s="167" t="s">
        <v>459</v>
      </c>
      <c r="BC32" s="168">
        <f>+DimAccountReconc.[[#This Row],[SortIndex]]</f>
        <v>21</v>
      </c>
      <c r="BD32" s="169"/>
      <c r="BE32" s="170">
        <v>50</v>
      </c>
      <c r="BF32" s="171">
        <f t="shared" si="15"/>
        <v>250</v>
      </c>
      <c r="BG32" s="171"/>
      <c r="BH32" s="171">
        <f t="shared" si="16"/>
        <v>1565</v>
      </c>
      <c r="BI32" s="172">
        <f t="shared" si="14"/>
        <v>6.26</v>
      </c>
      <c r="BJ32" s="173">
        <f t="shared" si="17"/>
        <v>-1.5650000000000004</v>
      </c>
      <c r="BK32" s="174"/>
      <c r="BL32" s="175">
        <f t="shared" si="11"/>
        <v>50</v>
      </c>
      <c r="BM32" s="176">
        <f t="shared" si="12"/>
        <v>0</v>
      </c>
      <c r="BN32" s="173">
        <f t="shared" si="13"/>
        <v>-1.5650000000000004</v>
      </c>
    </row>
    <row r="33" spans="2:66" x14ac:dyDescent="0.25">
      <c r="B33" s="51" t="s">
        <v>289</v>
      </c>
      <c r="C33" s="51" t="s">
        <v>223</v>
      </c>
      <c r="E33" s="51" t="s">
        <v>257</v>
      </c>
      <c r="F33" s="51" t="s">
        <v>194</v>
      </c>
      <c r="G33" s="51" t="s">
        <v>194</v>
      </c>
      <c r="H33" s="51" t="s">
        <v>238</v>
      </c>
      <c r="I33" s="51" t="s">
        <v>238</v>
      </c>
      <c r="J33" s="51" t="s">
        <v>238</v>
      </c>
      <c r="K33" s="51" t="s">
        <v>245</v>
      </c>
      <c r="L33" s="51" t="s">
        <v>245</v>
      </c>
      <c r="M33" s="51" t="s">
        <v>35</v>
      </c>
      <c r="N33" s="51" t="s">
        <v>44</v>
      </c>
      <c r="O33" s="51" t="s">
        <v>45</v>
      </c>
      <c r="P33" s="51" t="s">
        <v>231</v>
      </c>
      <c r="Q33" s="51" t="s">
        <v>175</v>
      </c>
      <c r="S33" s="51" t="s">
        <v>318</v>
      </c>
      <c r="T33" s="51" t="s">
        <v>139</v>
      </c>
      <c r="U33" s="51" t="s">
        <v>140</v>
      </c>
      <c r="V33" s="51" t="s">
        <v>158</v>
      </c>
      <c r="W33" s="51">
        <v>1</v>
      </c>
      <c r="X33" s="51" t="s">
        <v>142</v>
      </c>
      <c r="AA33" s="51" t="s">
        <v>111</v>
      </c>
      <c r="AB33" s="51" t="s">
        <v>110</v>
      </c>
      <c r="AC33" s="51" t="s">
        <v>109</v>
      </c>
      <c r="AD33" s="51">
        <v>23</v>
      </c>
      <c r="AE33" s="51">
        <v>6</v>
      </c>
      <c r="AF33" s="51">
        <v>46</v>
      </c>
      <c r="AR33" s="51" t="s">
        <v>175</v>
      </c>
      <c r="AS33" s="71">
        <v>22</v>
      </c>
      <c r="AT33" s="71" t="s">
        <v>459</v>
      </c>
      <c r="AU33" s="71"/>
      <c r="AV33" s="94"/>
      <c r="AW33" s="165"/>
      <c r="AX33" s="165"/>
      <c r="AY33" s="165"/>
      <c r="AZ33" s="166"/>
      <c r="BA33" s="166" t="s">
        <v>175</v>
      </c>
      <c r="BB33" s="167" t="s">
        <v>459</v>
      </c>
      <c r="BC33" s="168">
        <f>+DimAccountReconc.[[#This Row],[SortIndex]]</f>
        <v>22</v>
      </c>
      <c r="BD33" s="169"/>
      <c r="BE33" s="170"/>
      <c r="BF33" s="171">
        <f t="shared" si="15"/>
        <v>250</v>
      </c>
      <c r="BG33" s="171">
        <v>2</v>
      </c>
      <c r="BH33" s="171">
        <f t="shared" si="16"/>
        <v>1567</v>
      </c>
      <c r="BI33" s="172">
        <f t="shared" si="14"/>
        <v>6.2679999999999998</v>
      </c>
      <c r="BJ33" s="173">
        <f t="shared" si="17"/>
        <v>8.0000000000000071E-3</v>
      </c>
      <c r="BK33" s="177"/>
      <c r="BL33" s="175">
        <f t="shared" si="11"/>
        <v>0</v>
      </c>
      <c r="BM33" s="176">
        <f t="shared" si="12"/>
        <v>2</v>
      </c>
      <c r="BN33" s="173">
        <f t="shared" si="13"/>
        <v>8.0000000000000071E-3</v>
      </c>
    </row>
    <row r="34" spans="2:66" x14ac:dyDescent="0.25">
      <c r="B34" s="51" t="s">
        <v>291</v>
      </c>
      <c r="C34" s="51" t="s">
        <v>223</v>
      </c>
      <c r="E34" s="51" t="s">
        <v>258</v>
      </c>
      <c r="F34" s="51" t="s">
        <v>194</v>
      </c>
      <c r="G34" s="51" t="s">
        <v>194</v>
      </c>
      <c r="H34" s="51" t="s">
        <v>238</v>
      </c>
      <c r="I34" s="51" t="s">
        <v>238</v>
      </c>
      <c r="J34" s="51" t="s">
        <v>238</v>
      </c>
      <c r="K34" s="51" t="s">
        <v>245</v>
      </c>
      <c r="L34" s="51" t="s">
        <v>245</v>
      </c>
      <c r="M34" s="51" t="s">
        <v>35</v>
      </c>
      <c r="N34" s="51" t="s">
        <v>44</v>
      </c>
      <c r="O34" s="51" t="s">
        <v>45</v>
      </c>
      <c r="P34" s="51" t="s">
        <v>231</v>
      </c>
      <c r="Q34" s="51" t="s">
        <v>176</v>
      </c>
      <c r="S34" s="51" t="s">
        <v>241</v>
      </c>
      <c r="T34" s="51" t="s">
        <v>139</v>
      </c>
      <c r="U34" s="51" t="s">
        <v>140</v>
      </c>
      <c r="V34" s="51" t="s">
        <v>157</v>
      </c>
      <c r="W34" s="51">
        <v>1</v>
      </c>
      <c r="X34" s="51" t="s">
        <v>142</v>
      </c>
      <c r="AA34" s="51" t="s">
        <v>72</v>
      </c>
      <c r="AB34" s="51" t="s">
        <v>71</v>
      </c>
      <c r="AC34" s="51" t="s">
        <v>60</v>
      </c>
      <c r="AD34" s="51">
        <v>15</v>
      </c>
      <c r="AE34" s="51">
        <v>3</v>
      </c>
      <c r="AF34" s="51">
        <v>26</v>
      </c>
      <c r="AR34" s="51" t="s">
        <v>282</v>
      </c>
      <c r="AS34" s="71">
        <v>23</v>
      </c>
      <c r="AT34" s="71" t="s">
        <v>459</v>
      </c>
      <c r="AU34" s="71"/>
      <c r="AV34" s="94"/>
      <c r="AW34" s="165"/>
      <c r="AX34" s="165"/>
      <c r="AY34" s="165"/>
      <c r="AZ34" s="166"/>
      <c r="BA34" s="166" t="s">
        <v>282</v>
      </c>
      <c r="BB34" s="167" t="s">
        <v>459</v>
      </c>
      <c r="BC34" s="168">
        <f>+DimAccountReconc.[[#This Row],[SortIndex]]</f>
        <v>23</v>
      </c>
      <c r="BD34" s="169"/>
      <c r="BE34" s="170"/>
      <c r="BF34" s="171">
        <f t="shared" si="15"/>
        <v>250</v>
      </c>
      <c r="BG34" s="171">
        <v>2</v>
      </c>
      <c r="BH34" s="171">
        <f t="shared" si="16"/>
        <v>1569</v>
      </c>
      <c r="BI34" s="172">
        <f t="shared" si="14"/>
        <v>6.2759999999999998</v>
      </c>
      <c r="BJ34" s="173">
        <f t="shared" si="17"/>
        <v>8.0000000000000071E-3</v>
      </c>
      <c r="BK34" s="177"/>
      <c r="BL34" s="175">
        <f t="shared" si="11"/>
        <v>0</v>
      </c>
      <c r="BM34" s="176">
        <f t="shared" si="12"/>
        <v>2</v>
      </c>
      <c r="BN34" s="173">
        <f t="shared" si="13"/>
        <v>8.0000000000000071E-3</v>
      </c>
    </row>
    <row r="35" spans="2:66" x14ac:dyDescent="0.25">
      <c r="B35" s="51" t="s">
        <v>281</v>
      </c>
      <c r="C35" s="51" t="s">
        <v>223</v>
      </c>
      <c r="E35" s="51" t="s">
        <v>259</v>
      </c>
      <c r="F35" s="51" t="s">
        <v>194</v>
      </c>
      <c r="G35" s="51" t="s">
        <v>194</v>
      </c>
      <c r="H35" s="51" t="s">
        <v>238</v>
      </c>
      <c r="I35" s="51" t="s">
        <v>238</v>
      </c>
      <c r="J35" s="51" t="s">
        <v>238</v>
      </c>
      <c r="K35" s="51" t="s">
        <v>245</v>
      </c>
      <c r="L35" s="51" t="s">
        <v>245</v>
      </c>
      <c r="M35" s="51" t="s">
        <v>35</v>
      </c>
      <c r="N35" s="51" t="s">
        <v>44</v>
      </c>
      <c r="O35" s="51" t="s">
        <v>45</v>
      </c>
      <c r="P35" s="51" t="s">
        <v>231</v>
      </c>
      <c r="Q35" s="51" t="s">
        <v>175</v>
      </c>
      <c r="S35" s="51" t="s">
        <v>241</v>
      </c>
      <c r="T35" s="51" t="s">
        <v>139</v>
      </c>
      <c r="U35" s="51" t="s">
        <v>140</v>
      </c>
      <c r="V35" s="51" t="s">
        <v>158</v>
      </c>
      <c r="W35" s="51">
        <v>1</v>
      </c>
      <c r="X35" s="51" t="s">
        <v>142</v>
      </c>
      <c r="AA35" s="51" t="s">
        <v>51</v>
      </c>
      <c r="AB35" s="51" t="s">
        <v>50</v>
      </c>
      <c r="AC35" s="51" t="s">
        <v>32</v>
      </c>
      <c r="AD35" s="51">
        <v>6</v>
      </c>
      <c r="AE35" s="51">
        <v>2</v>
      </c>
      <c r="AF35" s="51">
        <v>15</v>
      </c>
      <c r="AR35" s="51" t="s">
        <v>231</v>
      </c>
      <c r="AS35" s="71">
        <v>24</v>
      </c>
      <c r="AT35" s="71" t="s">
        <v>459</v>
      </c>
      <c r="AU35" s="71"/>
      <c r="AV35" s="94"/>
      <c r="AZ35" s="178"/>
      <c r="BA35" s="178" t="s">
        <v>231</v>
      </c>
      <c r="BB35" s="179" t="s">
        <v>459</v>
      </c>
      <c r="BC35" s="168">
        <f>+DimAccountReconc.[[#This Row],[SortIndex]]</f>
        <v>24</v>
      </c>
      <c r="BD35" s="180"/>
      <c r="BE35" s="170"/>
      <c r="BF35" s="171">
        <f t="shared" si="15"/>
        <v>250</v>
      </c>
      <c r="BG35" s="171">
        <v>3</v>
      </c>
      <c r="BH35" s="171">
        <f t="shared" si="16"/>
        <v>1572</v>
      </c>
      <c r="BI35" s="172">
        <f t="shared" si="14"/>
        <v>6.2880000000000003</v>
      </c>
      <c r="BJ35" s="173">
        <f t="shared" si="17"/>
        <v>1.2000000000000455E-2</v>
      </c>
      <c r="BK35" s="177"/>
      <c r="BL35" s="175">
        <f t="shared" si="11"/>
        <v>0</v>
      </c>
      <c r="BM35" s="176">
        <f t="shared" si="12"/>
        <v>3</v>
      </c>
      <c r="BN35" s="173">
        <f t="shared" si="13"/>
        <v>1.2000000000000455E-2</v>
      </c>
    </row>
    <row r="36" spans="2:66" x14ac:dyDescent="0.25">
      <c r="B36" s="51" t="s">
        <v>326</v>
      </c>
      <c r="C36" s="51" t="s">
        <v>223</v>
      </c>
      <c r="E36" s="51" t="s">
        <v>9</v>
      </c>
      <c r="F36" s="51" t="s">
        <v>194</v>
      </c>
      <c r="G36" s="51" t="s">
        <v>194</v>
      </c>
      <c r="H36" s="51" t="s">
        <v>238</v>
      </c>
      <c r="I36" s="51" t="s">
        <v>238</v>
      </c>
      <c r="J36" s="51" t="s">
        <v>238</v>
      </c>
      <c r="K36" s="51" t="s">
        <v>245</v>
      </c>
      <c r="L36" s="51" t="s">
        <v>245</v>
      </c>
      <c r="M36" s="51" t="s">
        <v>36</v>
      </c>
      <c r="N36" s="51" t="s">
        <v>298</v>
      </c>
      <c r="O36" s="51" t="s">
        <v>45</v>
      </c>
      <c r="P36" s="51" t="s">
        <v>231</v>
      </c>
      <c r="Q36" s="51" t="s">
        <v>175</v>
      </c>
      <c r="S36" s="51" t="s">
        <v>241</v>
      </c>
      <c r="T36" s="51" t="s">
        <v>139</v>
      </c>
      <c r="U36" s="51" t="s">
        <v>139</v>
      </c>
      <c r="V36" s="51" t="s">
        <v>159</v>
      </c>
      <c r="W36" s="51">
        <v>1</v>
      </c>
      <c r="X36" s="51" t="s">
        <v>142</v>
      </c>
      <c r="Y36" s="51" t="s">
        <v>452</v>
      </c>
      <c r="AA36" s="51" t="s">
        <v>52</v>
      </c>
      <c r="AB36" s="51" t="s">
        <v>50</v>
      </c>
      <c r="AC36" s="51" t="s">
        <v>32</v>
      </c>
      <c r="AD36" s="51">
        <v>6</v>
      </c>
      <c r="AE36" s="51">
        <v>2</v>
      </c>
      <c r="AF36" s="51">
        <v>16</v>
      </c>
      <c r="AR36" s="51" t="s">
        <v>176</v>
      </c>
      <c r="AS36" s="71">
        <v>25</v>
      </c>
      <c r="AT36" s="71" t="s">
        <v>459</v>
      </c>
      <c r="AU36" s="71"/>
      <c r="AV36" s="94"/>
      <c r="AZ36" s="166"/>
      <c r="BA36" s="166" t="s">
        <v>176</v>
      </c>
      <c r="BB36" s="167" t="s">
        <v>459</v>
      </c>
      <c r="BC36" s="168">
        <f>+DimAccountReconc.[[#This Row],[SortIndex]]</f>
        <v>25</v>
      </c>
      <c r="BD36" s="169"/>
      <c r="BE36" s="170"/>
      <c r="BF36" s="171">
        <f t="shared" si="15"/>
        <v>250</v>
      </c>
      <c r="BG36" s="171">
        <v>56</v>
      </c>
      <c r="BH36" s="171">
        <f t="shared" si="16"/>
        <v>1628</v>
      </c>
      <c r="BI36" s="172">
        <f t="shared" si="14"/>
        <v>6.5119999999999996</v>
      </c>
      <c r="BJ36" s="173">
        <f t="shared" si="17"/>
        <v>0.22399999999999931</v>
      </c>
      <c r="BK36" s="177"/>
      <c r="BL36" s="175">
        <f t="shared" si="11"/>
        <v>0</v>
      </c>
      <c r="BM36" s="176">
        <f t="shared" si="12"/>
        <v>56</v>
      </c>
      <c r="BN36" s="173">
        <f t="shared" si="13"/>
        <v>0.22399999999999931</v>
      </c>
    </row>
    <row r="37" spans="2:66" x14ac:dyDescent="0.25">
      <c r="B37" s="51" t="s">
        <v>315</v>
      </c>
      <c r="C37" s="51" t="s">
        <v>223</v>
      </c>
      <c r="E37" s="51" t="s">
        <v>10</v>
      </c>
      <c r="F37" s="51" t="s">
        <v>194</v>
      </c>
      <c r="G37" s="51" t="s">
        <v>194</v>
      </c>
      <c r="H37" s="51" t="s">
        <v>238</v>
      </c>
      <c r="I37" s="51" t="s">
        <v>238</v>
      </c>
      <c r="J37" s="51" t="s">
        <v>238</v>
      </c>
      <c r="K37" s="51" t="s">
        <v>245</v>
      </c>
      <c r="L37" s="51" t="s">
        <v>245</v>
      </c>
      <c r="M37" s="51" t="s">
        <v>35</v>
      </c>
      <c r="N37" s="51" t="s">
        <v>40</v>
      </c>
      <c r="O37" s="51" t="s">
        <v>45</v>
      </c>
      <c r="P37" s="51" t="s">
        <v>231</v>
      </c>
      <c r="Q37" s="51" t="s">
        <v>175</v>
      </c>
      <c r="S37" s="51" t="s">
        <v>241</v>
      </c>
      <c r="T37" s="51" t="s">
        <v>139</v>
      </c>
      <c r="U37" s="51" t="s">
        <v>140</v>
      </c>
      <c r="V37" s="51" t="s">
        <v>160</v>
      </c>
      <c r="W37" s="51">
        <v>1</v>
      </c>
      <c r="X37" s="51" t="s">
        <v>142</v>
      </c>
      <c r="AA37" s="51" t="s">
        <v>34</v>
      </c>
      <c r="AB37" s="51" t="s">
        <v>33</v>
      </c>
      <c r="AC37" s="51" t="s">
        <v>32</v>
      </c>
      <c r="AD37" s="51">
        <v>4</v>
      </c>
      <c r="AE37" s="51">
        <v>2</v>
      </c>
      <c r="AF37" s="51">
        <v>13</v>
      </c>
      <c r="AR37" s="164" t="s">
        <v>459</v>
      </c>
      <c r="AS37" s="71">
        <v>26</v>
      </c>
      <c r="AT37" s="71" t="s">
        <v>459</v>
      </c>
      <c r="AU37" s="71" t="s">
        <v>625</v>
      </c>
      <c r="AV37" s="94" t="s">
        <v>450</v>
      </c>
      <c r="AZ37" s="181" t="s">
        <v>597</v>
      </c>
      <c r="BA37" s="181" t="s">
        <v>459</v>
      </c>
      <c r="BB37" s="182" t="s">
        <v>459</v>
      </c>
      <c r="BC37" s="183">
        <f>+DimAccountReconc.[[#This Row],[SortIndex]]</f>
        <v>26</v>
      </c>
      <c r="BD37" s="184" t="s">
        <v>446</v>
      </c>
      <c r="BE37" s="185"/>
      <c r="BF37" s="186">
        <f t="shared" si="15"/>
        <v>250</v>
      </c>
      <c r="BG37" s="186"/>
      <c r="BH37" s="186">
        <f t="shared" si="16"/>
        <v>1628</v>
      </c>
      <c r="BI37" s="187">
        <f t="shared" si="14"/>
        <v>6.5119999999999996</v>
      </c>
      <c r="BJ37" s="188">
        <f t="shared" si="17"/>
        <v>0</v>
      </c>
      <c r="BK37" s="189"/>
      <c r="BL37" s="190">
        <f t="shared" si="11"/>
        <v>50</v>
      </c>
      <c r="BM37" s="191">
        <f t="shared" si="12"/>
        <v>63</v>
      </c>
      <c r="BN37" s="188">
        <f t="shared" si="13"/>
        <v>-1.3130000000000006</v>
      </c>
    </row>
    <row r="38" spans="2:66" ht="15.75" thickBot="1" x14ac:dyDescent="0.3">
      <c r="B38" s="51" t="s">
        <v>283</v>
      </c>
      <c r="C38" s="51" t="s">
        <v>223</v>
      </c>
      <c r="E38" s="52" t="s">
        <v>311</v>
      </c>
      <c r="F38" s="51" t="s">
        <v>194</v>
      </c>
      <c r="G38" s="51" t="s">
        <v>194</v>
      </c>
      <c r="H38" s="52" t="s">
        <v>238</v>
      </c>
      <c r="I38" s="52" t="s">
        <v>245</v>
      </c>
      <c r="J38" s="52" t="s">
        <v>245</v>
      </c>
      <c r="K38" s="52" t="s">
        <v>245</v>
      </c>
      <c r="L38" s="52" t="s">
        <v>245</v>
      </c>
      <c r="M38" s="52" t="s">
        <v>282</v>
      </c>
      <c r="N38" s="52" t="s">
        <v>282</v>
      </c>
      <c r="O38" s="52" t="s">
        <v>282</v>
      </c>
      <c r="P38" s="52" t="s">
        <v>282</v>
      </c>
      <c r="Q38" s="52" t="s">
        <v>282</v>
      </c>
      <c r="S38" s="51" t="s">
        <v>321</v>
      </c>
      <c r="T38" s="51" t="s">
        <v>139</v>
      </c>
      <c r="U38" s="51" t="s">
        <v>140</v>
      </c>
      <c r="V38" s="51" t="s">
        <v>158</v>
      </c>
      <c r="W38" s="51">
        <v>1</v>
      </c>
      <c r="X38" s="51" t="s">
        <v>142</v>
      </c>
      <c r="AA38" s="51" t="s">
        <v>49</v>
      </c>
      <c r="AB38" s="51" t="s">
        <v>48</v>
      </c>
      <c r="AC38" s="51" t="s">
        <v>32</v>
      </c>
      <c r="AD38" s="51">
        <v>5</v>
      </c>
      <c r="AE38" s="51">
        <v>2</v>
      </c>
      <c r="AF38" s="51">
        <v>14</v>
      </c>
      <c r="AR38" s="192" t="s">
        <v>460</v>
      </c>
      <c r="AS38" s="71">
        <v>27</v>
      </c>
      <c r="AT38" s="192"/>
      <c r="AU38" s="192" t="s">
        <v>626</v>
      </c>
      <c r="AV38" s="193" t="s">
        <v>446</v>
      </c>
      <c r="AZ38" s="194" t="s">
        <v>600</v>
      </c>
      <c r="BA38" s="194" t="s">
        <v>460</v>
      </c>
      <c r="BB38" s="194"/>
      <c r="BC38" s="195">
        <f>+DimAccountReconc.[[#This Row],[SortIndex]]</f>
        <v>27</v>
      </c>
      <c r="BD38" s="196" t="s">
        <v>238</v>
      </c>
      <c r="BE38" s="197">
        <f>SUM(BE11:BE37)</f>
        <v>250</v>
      </c>
      <c r="BF38" s="198">
        <f t="shared" si="15"/>
        <v>250</v>
      </c>
      <c r="BG38" s="198">
        <f>SUM(BG11:BG37)</f>
        <v>1628</v>
      </c>
      <c r="BH38" s="198">
        <f t="shared" si="16"/>
        <v>1628</v>
      </c>
      <c r="BI38" s="199">
        <f t="shared" si="14"/>
        <v>6.5119999999999996</v>
      </c>
      <c r="BJ38" s="200" t="s">
        <v>590</v>
      </c>
      <c r="BK38" s="134"/>
      <c r="BL38" s="201">
        <f t="shared" si="11"/>
        <v>250</v>
      </c>
      <c r="BM38" s="202">
        <f t="shared" si="12"/>
        <v>1628</v>
      </c>
      <c r="BN38" s="203">
        <f t="shared" si="13"/>
        <v>6.5119999999999996</v>
      </c>
    </row>
    <row r="39" spans="2:66" x14ac:dyDescent="0.25">
      <c r="B39" s="51" t="s">
        <v>240</v>
      </c>
      <c r="C39" s="51" t="s">
        <v>461</v>
      </c>
      <c r="E39" s="51" t="s">
        <v>336</v>
      </c>
      <c r="F39" s="51" t="s">
        <v>194</v>
      </c>
      <c r="G39" s="51" t="s">
        <v>194</v>
      </c>
      <c r="H39" s="51" t="s">
        <v>238</v>
      </c>
      <c r="I39" s="51" t="s">
        <v>238</v>
      </c>
      <c r="J39" s="51" t="s">
        <v>238</v>
      </c>
      <c r="K39" s="51" t="s">
        <v>245</v>
      </c>
      <c r="L39" s="51" t="s">
        <v>245</v>
      </c>
      <c r="M39" s="51" t="s">
        <v>35</v>
      </c>
      <c r="N39" s="51" t="s">
        <v>44</v>
      </c>
      <c r="O39" s="51" t="s">
        <v>45</v>
      </c>
      <c r="P39" s="51" t="s">
        <v>231</v>
      </c>
      <c r="Q39" s="51" t="s">
        <v>176</v>
      </c>
      <c r="S39" s="51" t="s">
        <v>321</v>
      </c>
      <c r="T39" s="51" t="s">
        <v>139</v>
      </c>
      <c r="U39" s="51" t="s">
        <v>139</v>
      </c>
      <c r="V39" s="51" t="s">
        <v>159</v>
      </c>
      <c r="W39" s="51">
        <v>1</v>
      </c>
      <c r="X39" s="51" t="s">
        <v>142</v>
      </c>
      <c r="Y39" s="51" t="s">
        <v>452</v>
      </c>
      <c r="AA39" s="51" t="s">
        <v>54</v>
      </c>
      <c r="AB39" s="51" t="s">
        <v>53</v>
      </c>
      <c r="AC39" s="51" t="s">
        <v>32</v>
      </c>
      <c r="AD39" s="51">
        <v>7</v>
      </c>
      <c r="AE39" s="51">
        <v>2</v>
      </c>
      <c r="AF39" s="51">
        <v>17</v>
      </c>
      <c r="AR39" s="51" t="s">
        <v>607</v>
      </c>
      <c r="AS39" s="71">
        <v>28</v>
      </c>
      <c r="AT39" s="71"/>
      <c r="AU39" s="71"/>
      <c r="AV39" s="72" t="s">
        <v>454</v>
      </c>
      <c r="BE39" s="53"/>
      <c r="BF39" s="53"/>
      <c r="BH39" s="204"/>
      <c r="BJ39" s="204"/>
      <c r="BL39" s="204"/>
      <c r="BM39" s="204"/>
      <c r="BN39" s="204"/>
    </row>
    <row r="40" spans="2:66" x14ac:dyDescent="0.25">
      <c r="B40" s="51" t="s">
        <v>381</v>
      </c>
      <c r="C40" s="51" t="s">
        <v>225</v>
      </c>
      <c r="E40" s="229" t="s">
        <v>260</v>
      </c>
      <c r="F40" s="229" t="s">
        <v>194</v>
      </c>
      <c r="G40" s="229" t="s">
        <v>194</v>
      </c>
      <c r="H40" s="229" t="s">
        <v>238</v>
      </c>
      <c r="I40" s="229" t="s">
        <v>238</v>
      </c>
      <c r="J40" s="229" t="s">
        <v>238</v>
      </c>
      <c r="K40" s="229" t="s">
        <v>245</v>
      </c>
      <c r="L40" s="229" t="s">
        <v>245</v>
      </c>
      <c r="M40" s="229" t="s">
        <v>35</v>
      </c>
      <c r="N40" s="229" t="s">
        <v>44</v>
      </c>
      <c r="O40" s="229" t="s">
        <v>45</v>
      </c>
      <c r="P40" s="229" t="s">
        <v>231</v>
      </c>
      <c r="Q40" s="229" t="s">
        <v>175</v>
      </c>
      <c r="S40" s="51" t="s">
        <v>322</v>
      </c>
      <c r="T40" s="51" t="s">
        <v>139</v>
      </c>
      <c r="U40" s="51" t="s">
        <v>140</v>
      </c>
      <c r="V40" s="51" t="s">
        <v>158</v>
      </c>
      <c r="W40" s="51">
        <v>1</v>
      </c>
      <c r="X40" s="51" t="s">
        <v>142</v>
      </c>
      <c r="AA40" s="51" t="s">
        <v>68</v>
      </c>
      <c r="AB40" s="51" t="s">
        <v>67</v>
      </c>
      <c r="AC40" s="51" t="s">
        <v>60</v>
      </c>
      <c r="AD40" s="51">
        <v>13</v>
      </c>
      <c r="AE40" s="51">
        <v>3</v>
      </c>
      <c r="AF40" s="51">
        <v>24</v>
      </c>
      <c r="BE40" s="53"/>
      <c r="BF40" s="53"/>
    </row>
    <row r="41" spans="2:66" x14ac:dyDescent="0.25">
      <c r="B41" s="51" t="s">
        <v>297</v>
      </c>
      <c r="C41" s="51" t="s">
        <v>225</v>
      </c>
      <c r="E41" s="229" t="s">
        <v>261</v>
      </c>
      <c r="F41" s="229" t="s">
        <v>194</v>
      </c>
      <c r="G41" s="229" t="s">
        <v>194</v>
      </c>
      <c r="H41" s="229" t="s">
        <v>238</v>
      </c>
      <c r="I41" s="229" t="s">
        <v>238</v>
      </c>
      <c r="J41" s="229" t="s">
        <v>238</v>
      </c>
      <c r="K41" s="229" t="s">
        <v>245</v>
      </c>
      <c r="L41" s="229" t="s">
        <v>245</v>
      </c>
      <c r="M41" s="229" t="s">
        <v>35</v>
      </c>
      <c r="N41" s="229" t="s">
        <v>44</v>
      </c>
      <c r="O41" s="229" t="s">
        <v>45</v>
      </c>
      <c r="P41" s="229" t="s">
        <v>231</v>
      </c>
      <c r="Q41" s="229" t="s">
        <v>175</v>
      </c>
      <c r="S41" s="51" t="s">
        <v>322</v>
      </c>
      <c r="T41" s="51" t="s">
        <v>139</v>
      </c>
      <c r="U41" s="51" t="s">
        <v>139</v>
      </c>
      <c r="V41" s="51" t="s">
        <v>159</v>
      </c>
      <c r="W41" s="51">
        <v>1</v>
      </c>
      <c r="X41" s="51" t="s">
        <v>142</v>
      </c>
      <c r="Y41" s="51" t="s">
        <v>452</v>
      </c>
      <c r="AA41" s="51" t="s">
        <v>114</v>
      </c>
      <c r="AB41" s="51" t="s">
        <v>113</v>
      </c>
      <c r="AC41" s="51" t="s">
        <v>109</v>
      </c>
      <c r="AD41" s="51">
        <v>24</v>
      </c>
      <c r="AE41" s="51">
        <v>6</v>
      </c>
      <c r="AF41" s="51">
        <v>47</v>
      </c>
      <c r="AV41" s="51" t="s">
        <v>609</v>
      </c>
      <c r="BB41" s="56"/>
    </row>
    <row r="42" spans="2:66" x14ac:dyDescent="0.25">
      <c r="B42" s="51" t="s">
        <v>242</v>
      </c>
      <c r="C42" s="51" t="s">
        <v>225</v>
      </c>
      <c r="E42" s="51" t="s">
        <v>11</v>
      </c>
      <c r="F42" s="51" t="s">
        <v>194</v>
      </c>
      <c r="G42" s="51" t="s">
        <v>194</v>
      </c>
      <c r="H42" s="51" t="s">
        <v>238</v>
      </c>
      <c r="I42" s="51" t="s">
        <v>238</v>
      </c>
      <c r="J42" s="51" t="s">
        <v>238</v>
      </c>
      <c r="K42" s="51" t="s">
        <v>245</v>
      </c>
      <c r="L42" s="51" t="s">
        <v>245</v>
      </c>
      <c r="M42" s="51" t="s">
        <v>35</v>
      </c>
      <c r="N42" s="51" t="s">
        <v>42</v>
      </c>
      <c r="O42" s="51" t="s">
        <v>45</v>
      </c>
      <c r="P42" s="51" t="s">
        <v>231</v>
      </c>
      <c r="Q42" s="51" t="s">
        <v>175</v>
      </c>
      <c r="S42" s="51" t="s">
        <v>319</v>
      </c>
      <c r="T42" s="51" t="s">
        <v>139</v>
      </c>
      <c r="U42" s="51" t="s">
        <v>140</v>
      </c>
      <c r="V42" s="51" t="s">
        <v>158</v>
      </c>
      <c r="W42" s="51">
        <v>1</v>
      </c>
      <c r="X42" s="51" t="s">
        <v>142</v>
      </c>
      <c r="AA42" s="51" t="s">
        <v>118</v>
      </c>
      <c r="AB42" s="51" t="s">
        <v>117</v>
      </c>
      <c r="AC42" s="51" t="s">
        <v>109</v>
      </c>
      <c r="AD42" s="51">
        <v>25</v>
      </c>
      <c r="AE42" s="51">
        <v>6</v>
      </c>
      <c r="AF42" s="51">
        <v>48</v>
      </c>
      <c r="AV42" s="51" t="s">
        <v>610</v>
      </c>
      <c r="BB42" s="56"/>
      <c r="BC42" s="54"/>
    </row>
    <row r="43" spans="2:66" x14ac:dyDescent="0.25">
      <c r="B43" s="51" t="s">
        <v>310</v>
      </c>
      <c r="C43" s="51" t="s">
        <v>225</v>
      </c>
      <c r="E43" s="51" t="s">
        <v>12</v>
      </c>
      <c r="F43" s="51" t="s">
        <v>194</v>
      </c>
      <c r="G43" s="51" t="s">
        <v>194</v>
      </c>
      <c r="H43" s="51" t="s">
        <v>238</v>
      </c>
      <c r="I43" s="51" t="s">
        <v>238</v>
      </c>
      <c r="J43" s="51" t="s">
        <v>238</v>
      </c>
      <c r="K43" s="51" t="s">
        <v>245</v>
      </c>
      <c r="L43" s="51" t="s">
        <v>245</v>
      </c>
      <c r="M43" s="51" t="s">
        <v>35</v>
      </c>
      <c r="N43" s="51" t="s">
        <v>44</v>
      </c>
      <c r="O43" s="51" t="s">
        <v>45</v>
      </c>
      <c r="P43" s="51" t="s">
        <v>231</v>
      </c>
      <c r="Q43" s="51" t="s">
        <v>175</v>
      </c>
      <c r="S43" s="51" t="s">
        <v>319</v>
      </c>
      <c r="T43" s="51" t="s">
        <v>139</v>
      </c>
      <c r="U43" s="51" t="s">
        <v>139</v>
      </c>
      <c r="V43" s="51" t="s">
        <v>159</v>
      </c>
      <c r="W43" s="51">
        <v>1</v>
      </c>
      <c r="X43" s="51" t="s">
        <v>142</v>
      </c>
      <c r="Y43" s="51" t="s">
        <v>452</v>
      </c>
      <c r="AA43" s="51" t="s">
        <v>88</v>
      </c>
      <c r="AB43" s="51" t="s">
        <v>84</v>
      </c>
      <c r="AC43" s="51" t="s">
        <v>83</v>
      </c>
      <c r="AD43" s="51">
        <v>21</v>
      </c>
      <c r="AE43" s="51">
        <v>5</v>
      </c>
      <c r="AF43" s="51">
        <v>34</v>
      </c>
    </row>
    <row r="44" spans="2:66" x14ac:dyDescent="0.25">
      <c r="B44" s="51" t="s">
        <v>224</v>
      </c>
      <c r="C44" s="51" t="s">
        <v>225</v>
      </c>
      <c r="E44" s="51" t="s">
        <v>395</v>
      </c>
      <c r="F44" s="51" t="s">
        <v>194</v>
      </c>
      <c r="G44" s="51" t="s">
        <v>194</v>
      </c>
      <c r="H44" s="51" t="s">
        <v>238</v>
      </c>
      <c r="I44" s="51" t="s">
        <v>238</v>
      </c>
      <c r="J44" s="51" t="s">
        <v>238</v>
      </c>
      <c r="K44" s="51" t="s">
        <v>245</v>
      </c>
      <c r="L44" s="51" t="s">
        <v>245</v>
      </c>
      <c r="M44" s="51" t="s">
        <v>35</v>
      </c>
      <c r="N44" s="51" t="s">
        <v>44</v>
      </c>
      <c r="O44" s="51" t="s">
        <v>45</v>
      </c>
      <c r="P44" s="51" t="s">
        <v>231</v>
      </c>
      <c r="Q44" s="51" t="s">
        <v>175</v>
      </c>
      <c r="S44" s="51" t="s">
        <v>237</v>
      </c>
      <c r="T44" s="51" t="s">
        <v>18</v>
      </c>
      <c r="U44" s="51" t="s">
        <v>18</v>
      </c>
      <c r="V44" s="51" t="s">
        <v>161</v>
      </c>
      <c r="W44" s="51">
        <v>1</v>
      </c>
      <c r="X44" s="51" t="s">
        <v>142</v>
      </c>
      <c r="AA44" s="51" t="s">
        <v>64</v>
      </c>
      <c r="AB44" s="51" t="s">
        <v>63</v>
      </c>
      <c r="AC44" s="51" t="s">
        <v>60</v>
      </c>
      <c r="AD44" s="51">
        <v>11</v>
      </c>
      <c r="AE44" s="51">
        <v>3</v>
      </c>
      <c r="AF44" s="51">
        <v>22</v>
      </c>
    </row>
    <row r="45" spans="2:66" x14ac:dyDescent="0.25">
      <c r="B45" s="51" t="s">
        <v>230</v>
      </c>
      <c r="C45" s="51" t="s">
        <v>223</v>
      </c>
      <c r="E45" s="51" t="s">
        <v>262</v>
      </c>
      <c r="F45" s="51" t="s">
        <v>194</v>
      </c>
      <c r="G45" s="51" t="s">
        <v>194</v>
      </c>
      <c r="H45" s="51" t="s">
        <v>238</v>
      </c>
      <c r="I45" s="51" t="s">
        <v>238</v>
      </c>
      <c r="J45" s="51" t="s">
        <v>238</v>
      </c>
      <c r="K45" s="51" t="s">
        <v>245</v>
      </c>
      <c r="L45" s="51" t="s">
        <v>245</v>
      </c>
      <c r="M45" s="51" t="s">
        <v>35</v>
      </c>
      <c r="N45" s="51" t="s">
        <v>44</v>
      </c>
      <c r="O45" s="51" t="s">
        <v>45</v>
      </c>
      <c r="P45" s="51" t="s">
        <v>231</v>
      </c>
      <c r="Q45" s="51" t="s">
        <v>176</v>
      </c>
      <c r="S45" s="51" t="s">
        <v>237</v>
      </c>
      <c r="T45" s="51" t="s">
        <v>18</v>
      </c>
      <c r="U45" s="51" t="s">
        <v>18</v>
      </c>
      <c r="V45" s="51" t="s">
        <v>162</v>
      </c>
      <c r="W45" s="51">
        <v>1</v>
      </c>
      <c r="X45" s="51" t="s">
        <v>142</v>
      </c>
      <c r="AA45" s="51" t="s">
        <v>89</v>
      </c>
      <c r="AB45" s="51" t="s">
        <v>84</v>
      </c>
      <c r="AC45" s="51" t="s">
        <v>83</v>
      </c>
      <c r="AD45" s="51">
        <v>21</v>
      </c>
      <c r="AE45" s="51">
        <v>5</v>
      </c>
      <c r="AF45" s="51">
        <v>35</v>
      </c>
    </row>
    <row r="46" spans="2:66" x14ac:dyDescent="0.25">
      <c r="B46" s="51" t="s">
        <v>330</v>
      </c>
      <c r="C46" s="51" t="s">
        <v>223</v>
      </c>
      <c r="E46" s="51" t="s">
        <v>13</v>
      </c>
      <c r="F46" s="51" t="s">
        <v>194</v>
      </c>
      <c r="G46" s="51" t="s">
        <v>194</v>
      </c>
      <c r="H46" s="51" t="s">
        <v>238</v>
      </c>
      <c r="I46" s="51" t="s">
        <v>238</v>
      </c>
      <c r="J46" s="51" t="s">
        <v>238</v>
      </c>
      <c r="K46" s="51" t="s">
        <v>245</v>
      </c>
      <c r="L46" s="51" t="s">
        <v>245</v>
      </c>
      <c r="M46" s="51" t="s">
        <v>35</v>
      </c>
      <c r="N46" s="51" t="s">
        <v>44</v>
      </c>
      <c r="O46" s="51" t="s">
        <v>45</v>
      </c>
      <c r="P46" s="51" t="s">
        <v>231</v>
      </c>
      <c r="Q46" s="51" t="s">
        <v>175</v>
      </c>
      <c r="S46" s="51" t="s">
        <v>237</v>
      </c>
      <c r="T46" s="51" t="s">
        <v>18</v>
      </c>
      <c r="U46" s="51" t="s">
        <v>18</v>
      </c>
      <c r="V46" s="51" t="s">
        <v>158</v>
      </c>
      <c r="W46" s="51">
        <v>1</v>
      </c>
      <c r="X46" s="51" t="s">
        <v>142</v>
      </c>
      <c r="AA46" s="51" t="s">
        <v>90</v>
      </c>
      <c r="AB46" s="51" t="s">
        <v>84</v>
      </c>
      <c r="AC46" s="51" t="s">
        <v>83</v>
      </c>
      <c r="AD46" s="51">
        <v>21</v>
      </c>
      <c r="AE46" s="51">
        <v>5</v>
      </c>
      <c r="AF46" s="51">
        <v>36</v>
      </c>
    </row>
    <row r="47" spans="2:66" x14ac:dyDescent="0.25">
      <c r="B47" s="51" t="s">
        <v>317</v>
      </c>
      <c r="C47" s="51" t="s">
        <v>223</v>
      </c>
      <c r="E47" s="51" t="s">
        <v>263</v>
      </c>
      <c r="F47" s="51" t="s">
        <v>194</v>
      </c>
      <c r="G47" s="51" t="s">
        <v>194</v>
      </c>
      <c r="H47" s="51" t="s">
        <v>238</v>
      </c>
      <c r="I47" s="51" t="s">
        <v>238</v>
      </c>
      <c r="J47" s="51" t="s">
        <v>238</v>
      </c>
      <c r="K47" s="51" t="s">
        <v>245</v>
      </c>
      <c r="L47" s="51" t="s">
        <v>245</v>
      </c>
      <c r="M47" s="51" t="s">
        <v>35</v>
      </c>
      <c r="N47" s="51" t="s">
        <v>44</v>
      </c>
      <c r="O47" s="51" t="s">
        <v>45</v>
      </c>
      <c r="P47" s="51" t="s">
        <v>231</v>
      </c>
      <c r="Q47" s="51" t="s">
        <v>175</v>
      </c>
      <c r="S47" s="51" t="s">
        <v>237</v>
      </c>
      <c r="T47" s="51" t="s">
        <v>18</v>
      </c>
      <c r="U47" s="51" t="s">
        <v>18</v>
      </c>
      <c r="V47" s="51" t="s">
        <v>159</v>
      </c>
      <c r="W47" s="51">
        <v>1</v>
      </c>
      <c r="X47" s="51" t="s">
        <v>142</v>
      </c>
      <c r="AA47" s="51" t="s">
        <v>74</v>
      </c>
      <c r="AB47" s="51" t="s">
        <v>73</v>
      </c>
      <c r="AC47" s="51" t="s">
        <v>60</v>
      </c>
      <c r="AD47" s="51">
        <v>16</v>
      </c>
      <c r="AE47" s="51">
        <v>3</v>
      </c>
      <c r="AF47" s="51">
        <v>27</v>
      </c>
    </row>
    <row r="48" spans="2:66" x14ac:dyDescent="0.25">
      <c r="B48" s="51" t="s">
        <v>278</v>
      </c>
      <c r="C48" s="51" t="s">
        <v>4</v>
      </c>
      <c r="E48" s="51" t="s">
        <v>177</v>
      </c>
      <c r="F48" s="51" t="s">
        <v>194</v>
      </c>
      <c r="G48" s="51" t="s">
        <v>194</v>
      </c>
      <c r="H48" s="51" t="s">
        <v>238</v>
      </c>
      <c r="I48" s="51" t="s">
        <v>238</v>
      </c>
      <c r="J48" s="51" t="s">
        <v>238</v>
      </c>
      <c r="K48" s="51" t="s">
        <v>245</v>
      </c>
      <c r="L48" s="51" t="s">
        <v>245</v>
      </c>
      <c r="M48" s="51" t="s">
        <v>35</v>
      </c>
      <c r="N48" s="51" t="s">
        <v>44</v>
      </c>
      <c r="O48" s="51" t="s">
        <v>45</v>
      </c>
      <c r="P48" s="51" t="s">
        <v>231</v>
      </c>
      <c r="Q48" s="51" t="s">
        <v>175</v>
      </c>
      <c r="S48" s="51" t="s">
        <v>237</v>
      </c>
      <c r="T48" s="51" t="s">
        <v>18</v>
      </c>
      <c r="U48" s="51" t="s">
        <v>18</v>
      </c>
      <c r="V48" s="51" t="s">
        <v>160</v>
      </c>
      <c r="W48" s="51">
        <v>1</v>
      </c>
      <c r="X48" s="51" t="s">
        <v>142</v>
      </c>
      <c r="AA48" s="51" t="s">
        <v>91</v>
      </c>
      <c r="AB48" s="51" t="s">
        <v>84</v>
      </c>
      <c r="AC48" s="51" t="s">
        <v>83</v>
      </c>
      <c r="AD48" s="51">
        <v>21</v>
      </c>
      <c r="AE48" s="51">
        <v>5</v>
      </c>
      <c r="AF48" s="51">
        <v>37</v>
      </c>
    </row>
    <row r="49" spans="2:32" x14ac:dyDescent="0.25">
      <c r="B49" s="51" t="s">
        <v>212</v>
      </c>
      <c r="C49" s="51" t="s">
        <v>4</v>
      </c>
      <c r="E49" s="51" t="s">
        <v>264</v>
      </c>
      <c r="F49" s="51" t="s">
        <v>194</v>
      </c>
      <c r="G49" s="51" t="s">
        <v>194</v>
      </c>
      <c r="H49" s="51" t="s">
        <v>238</v>
      </c>
      <c r="I49" s="51" t="s">
        <v>238</v>
      </c>
      <c r="J49" s="51" t="s">
        <v>238</v>
      </c>
      <c r="K49" s="51" t="s">
        <v>245</v>
      </c>
      <c r="L49" s="51" t="s">
        <v>245</v>
      </c>
      <c r="M49" s="51" t="s">
        <v>35</v>
      </c>
      <c r="N49" s="51" t="s">
        <v>44</v>
      </c>
      <c r="O49" s="51" t="s">
        <v>45</v>
      </c>
      <c r="P49" s="51" t="s">
        <v>231</v>
      </c>
      <c r="Q49" s="51" t="s">
        <v>176</v>
      </c>
      <c r="S49" s="51" t="s">
        <v>243</v>
      </c>
      <c r="T49" s="51" t="s">
        <v>138</v>
      </c>
      <c r="U49" s="51" t="s">
        <v>16</v>
      </c>
      <c r="V49" s="51" t="s">
        <v>160</v>
      </c>
      <c r="W49" s="51">
        <v>0.71664829106945971</v>
      </c>
      <c r="X49" s="51" t="s">
        <v>142</v>
      </c>
      <c r="AA49" s="51" t="s">
        <v>101</v>
      </c>
      <c r="AB49" s="51" t="s">
        <v>99</v>
      </c>
      <c r="AC49" s="51" t="s">
        <v>83</v>
      </c>
      <c r="AD49" s="51">
        <v>22</v>
      </c>
      <c r="AE49" s="51">
        <v>5</v>
      </c>
      <c r="AF49" s="51">
        <v>40</v>
      </c>
    </row>
    <row r="50" spans="2:32" x14ac:dyDescent="0.25">
      <c r="B50" s="51" t="s">
        <v>304</v>
      </c>
      <c r="C50" s="51" t="s">
        <v>223</v>
      </c>
      <c r="E50" s="51" t="s">
        <v>14</v>
      </c>
      <c r="F50" s="51" t="s">
        <v>194</v>
      </c>
      <c r="G50" s="51" t="s">
        <v>194</v>
      </c>
      <c r="H50" s="51" t="s">
        <v>238</v>
      </c>
      <c r="I50" s="51" t="s">
        <v>238</v>
      </c>
      <c r="J50" s="51" t="s">
        <v>238</v>
      </c>
      <c r="K50" s="51" t="s">
        <v>245</v>
      </c>
      <c r="L50" s="51" t="s">
        <v>245</v>
      </c>
      <c r="M50" s="51" t="s">
        <v>35</v>
      </c>
      <c r="N50" s="51" t="s">
        <v>43</v>
      </c>
      <c r="O50" s="51" t="s">
        <v>45</v>
      </c>
      <c r="P50" s="51" t="s">
        <v>231</v>
      </c>
      <c r="Q50" s="51" t="s">
        <v>175</v>
      </c>
      <c r="S50" s="51" t="s">
        <v>325</v>
      </c>
      <c r="T50" s="51" t="s">
        <v>139</v>
      </c>
      <c r="U50" s="51" t="s">
        <v>140</v>
      </c>
      <c r="V50" s="51" t="s">
        <v>158</v>
      </c>
      <c r="W50" s="51">
        <v>1</v>
      </c>
      <c r="X50" s="51" t="s">
        <v>142</v>
      </c>
      <c r="AA50" s="51" t="s">
        <v>76</v>
      </c>
      <c r="AB50" s="51" t="s">
        <v>75</v>
      </c>
      <c r="AC50" s="51" t="s">
        <v>60</v>
      </c>
      <c r="AD50" s="51">
        <v>17</v>
      </c>
      <c r="AE50" s="51">
        <v>3</v>
      </c>
      <c r="AF50" s="51">
        <v>28</v>
      </c>
    </row>
    <row r="51" spans="2:32" x14ac:dyDescent="0.25">
      <c r="B51" s="51" t="s">
        <v>222</v>
      </c>
      <c r="C51" s="51" t="s">
        <v>223</v>
      </c>
      <c r="E51" s="51" t="s">
        <v>265</v>
      </c>
      <c r="F51" s="51" t="s">
        <v>194</v>
      </c>
      <c r="G51" s="51" t="s">
        <v>194</v>
      </c>
      <c r="H51" s="51" t="s">
        <v>238</v>
      </c>
      <c r="I51" s="51" t="s">
        <v>238</v>
      </c>
      <c r="J51" s="51" t="s">
        <v>238</v>
      </c>
      <c r="K51" s="51" t="s">
        <v>245</v>
      </c>
      <c r="L51" s="51" t="s">
        <v>245</v>
      </c>
      <c r="M51" s="51" t="s">
        <v>35</v>
      </c>
      <c r="N51" s="51" t="s">
        <v>44</v>
      </c>
      <c r="O51" s="51" t="s">
        <v>45</v>
      </c>
      <c r="P51" s="51" t="s">
        <v>231</v>
      </c>
      <c r="Q51" s="51" t="s">
        <v>175</v>
      </c>
      <c r="S51" s="51" t="s">
        <v>325</v>
      </c>
      <c r="T51" s="51" t="s">
        <v>139</v>
      </c>
      <c r="U51" s="51" t="s">
        <v>139</v>
      </c>
      <c r="V51" s="51" t="s">
        <v>159</v>
      </c>
      <c r="W51" s="51">
        <v>1</v>
      </c>
      <c r="X51" s="51" t="s">
        <v>142</v>
      </c>
      <c r="Y51" s="51" t="s">
        <v>452</v>
      </c>
      <c r="AA51" s="51" t="s">
        <v>127</v>
      </c>
      <c r="AB51" s="51" t="s">
        <v>126</v>
      </c>
      <c r="AC51" s="51" t="s">
        <v>109</v>
      </c>
      <c r="AD51" s="51">
        <v>26</v>
      </c>
      <c r="AE51" s="51">
        <v>6</v>
      </c>
      <c r="AF51" s="51">
        <v>49</v>
      </c>
    </row>
    <row r="52" spans="2:32" x14ac:dyDescent="0.25">
      <c r="B52" s="51" t="s">
        <v>284</v>
      </c>
      <c r="C52" s="51" t="s">
        <v>223</v>
      </c>
      <c r="E52" s="51" t="s">
        <v>266</v>
      </c>
      <c r="F52" s="51" t="s">
        <v>194</v>
      </c>
      <c r="G52" s="51" t="s">
        <v>194</v>
      </c>
      <c r="H52" s="51" t="s">
        <v>238</v>
      </c>
      <c r="I52" s="51" t="s">
        <v>238</v>
      </c>
      <c r="J52" s="51" t="s">
        <v>238</v>
      </c>
      <c r="K52" s="51" t="s">
        <v>245</v>
      </c>
      <c r="L52" s="51" t="s">
        <v>245</v>
      </c>
      <c r="M52" s="51" t="s">
        <v>35</v>
      </c>
      <c r="N52" s="51" t="s">
        <v>44</v>
      </c>
      <c r="O52" s="51" t="s">
        <v>45</v>
      </c>
      <c r="P52" s="51" t="s">
        <v>231</v>
      </c>
      <c r="Q52" s="51" t="s">
        <v>175</v>
      </c>
      <c r="S52" s="51" t="s">
        <v>323</v>
      </c>
      <c r="T52" s="51" t="s">
        <v>139</v>
      </c>
      <c r="U52" s="51" t="s">
        <v>140</v>
      </c>
      <c r="V52" s="51" t="s">
        <v>158</v>
      </c>
      <c r="W52" s="51">
        <v>1</v>
      </c>
      <c r="X52" s="51" t="s">
        <v>142</v>
      </c>
      <c r="AA52" s="51" t="s">
        <v>82</v>
      </c>
      <c r="AB52" s="51" t="s">
        <v>81</v>
      </c>
      <c r="AC52" s="51" t="s">
        <v>81</v>
      </c>
      <c r="AD52" s="51">
        <v>20</v>
      </c>
      <c r="AE52" s="51">
        <v>4</v>
      </c>
      <c r="AF52" s="51">
        <v>31</v>
      </c>
    </row>
    <row r="53" spans="2:32" x14ac:dyDescent="0.25">
      <c r="B53" s="51" t="s">
        <v>270</v>
      </c>
      <c r="C53" s="51" t="s">
        <v>247</v>
      </c>
      <c r="E53" s="51" t="s">
        <v>15</v>
      </c>
      <c r="F53" s="51" t="s">
        <v>194</v>
      </c>
      <c r="G53" s="51" t="s">
        <v>194</v>
      </c>
      <c r="H53" s="51" t="s">
        <v>271</v>
      </c>
      <c r="I53" s="51" t="s">
        <v>271</v>
      </c>
      <c r="J53" s="51" t="s">
        <v>271</v>
      </c>
      <c r="K53" s="51" t="s">
        <v>271</v>
      </c>
      <c r="L53" s="51" t="s">
        <v>271</v>
      </c>
      <c r="M53" s="51" t="s">
        <v>176</v>
      </c>
      <c r="N53" s="51" t="s">
        <v>176</v>
      </c>
      <c r="O53" s="51" t="s">
        <v>176</v>
      </c>
      <c r="P53" s="51" t="s">
        <v>176</v>
      </c>
      <c r="Q53" s="51" t="s">
        <v>176</v>
      </c>
      <c r="S53" s="51" t="s">
        <v>323</v>
      </c>
      <c r="T53" s="51" t="s">
        <v>139</v>
      </c>
      <c r="U53" s="51" t="s">
        <v>139</v>
      </c>
      <c r="V53" s="51" t="s">
        <v>159</v>
      </c>
      <c r="W53" s="51">
        <v>1</v>
      </c>
      <c r="X53" s="51" t="s">
        <v>142</v>
      </c>
      <c r="Y53" s="51" t="s">
        <v>452</v>
      </c>
      <c r="AA53" s="51" t="s">
        <v>131</v>
      </c>
      <c r="AB53" s="51" t="s">
        <v>130</v>
      </c>
      <c r="AC53" s="51" t="s">
        <v>109</v>
      </c>
      <c r="AD53" s="51">
        <v>27</v>
      </c>
      <c r="AE53" s="51">
        <v>6</v>
      </c>
      <c r="AF53" s="51">
        <v>50</v>
      </c>
    </row>
    <row r="54" spans="2:32" x14ac:dyDescent="0.25">
      <c r="B54" s="51" t="s">
        <v>406</v>
      </c>
      <c r="C54" s="51" t="s">
        <v>223</v>
      </c>
      <c r="E54" s="51" t="s">
        <v>267</v>
      </c>
      <c r="F54" s="51" t="s">
        <v>194</v>
      </c>
      <c r="G54" s="51" t="s">
        <v>194</v>
      </c>
      <c r="H54" s="51" t="s">
        <v>271</v>
      </c>
      <c r="I54" s="51" t="s">
        <v>271</v>
      </c>
      <c r="J54" s="51" t="s">
        <v>271</v>
      </c>
      <c r="K54" s="51" t="s">
        <v>271</v>
      </c>
      <c r="L54" s="51" t="s">
        <v>271</v>
      </c>
      <c r="M54" s="51" t="s">
        <v>287</v>
      </c>
      <c r="N54" s="51" t="s">
        <v>287</v>
      </c>
      <c r="O54" s="51" t="s">
        <v>287</v>
      </c>
      <c r="P54" s="51" t="s">
        <v>287</v>
      </c>
      <c r="Q54" s="51" t="s">
        <v>287</v>
      </c>
      <c r="S54" s="51" t="s">
        <v>324</v>
      </c>
      <c r="T54" s="51" t="s">
        <v>139</v>
      </c>
      <c r="U54" s="51" t="s">
        <v>140</v>
      </c>
      <c r="V54" s="51" t="s">
        <v>158</v>
      </c>
      <c r="W54" s="51">
        <v>1</v>
      </c>
      <c r="X54" s="51" t="s">
        <v>142</v>
      </c>
      <c r="AA54" s="51" t="s">
        <v>102</v>
      </c>
      <c r="AB54" s="51" t="s">
        <v>99</v>
      </c>
      <c r="AC54" s="51" t="s">
        <v>83</v>
      </c>
      <c r="AD54" s="51">
        <v>22</v>
      </c>
      <c r="AE54" s="51">
        <v>5</v>
      </c>
      <c r="AF54" s="51">
        <v>41</v>
      </c>
    </row>
    <row r="55" spans="2:32" x14ac:dyDescent="0.25">
      <c r="B55" s="51" t="s">
        <v>313</v>
      </c>
      <c r="C55" s="51" t="s">
        <v>223</v>
      </c>
      <c r="E55" s="51" t="s">
        <v>268</v>
      </c>
      <c r="F55" s="51" t="s">
        <v>194</v>
      </c>
      <c r="G55" s="51" t="s">
        <v>194</v>
      </c>
      <c r="H55" s="51" t="s">
        <v>271</v>
      </c>
      <c r="I55" s="51" t="s">
        <v>271</v>
      </c>
      <c r="J55" s="51" t="s">
        <v>271</v>
      </c>
      <c r="K55" s="51" t="s">
        <v>271</v>
      </c>
      <c r="L55" s="51" t="s">
        <v>271</v>
      </c>
      <c r="M55" s="51" t="s">
        <v>287</v>
      </c>
      <c r="N55" s="51" t="s">
        <v>287</v>
      </c>
      <c r="O55" s="51" t="s">
        <v>287</v>
      </c>
      <c r="P55" s="51" t="s">
        <v>287</v>
      </c>
      <c r="Q55" s="51" t="s">
        <v>287</v>
      </c>
      <c r="S55" s="51" t="s">
        <v>324</v>
      </c>
      <c r="T55" s="51" t="s">
        <v>139</v>
      </c>
      <c r="U55" s="51" t="s">
        <v>139</v>
      </c>
      <c r="V55" s="51" t="s">
        <v>159</v>
      </c>
      <c r="W55" s="51">
        <v>1</v>
      </c>
      <c r="X55" s="51" t="s">
        <v>142</v>
      </c>
      <c r="Y55" s="51" t="s">
        <v>452</v>
      </c>
      <c r="AA55" s="51" t="s">
        <v>134</v>
      </c>
      <c r="AB55" s="51" t="s">
        <v>133</v>
      </c>
      <c r="AC55" s="51" t="s">
        <v>109</v>
      </c>
      <c r="AD55" s="51">
        <v>28</v>
      </c>
      <c r="AE55" s="51">
        <v>6</v>
      </c>
      <c r="AF55" s="51">
        <v>51</v>
      </c>
    </row>
    <row r="56" spans="2:32" x14ac:dyDescent="0.25">
      <c r="B56" s="51" t="s">
        <v>213</v>
      </c>
      <c r="C56" s="51" t="s">
        <v>4</v>
      </c>
      <c r="E56" s="51" t="s">
        <v>169</v>
      </c>
      <c r="F56" s="51" t="s">
        <v>194</v>
      </c>
      <c r="G56" s="51" t="s">
        <v>194</v>
      </c>
      <c r="H56" s="51" t="s">
        <v>271</v>
      </c>
      <c r="I56" s="51" t="s">
        <v>271</v>
      </c>
      <c r="J56" s="51" t="s">
        <v>271</v>
      </c>
      <c r="K56" s="51" t="s">
        <v>271</v>
      </c>
      <c r="L56" s="51" t="s">
        <v>271</v>
      </c>
      <c r="M56" s="51" t="s">
        <v>168</v>
      </c>
      <c r="N56" s="51" t="s">
        <v>168</v>
      </c>
      <c r="O56" s="51" t="s">
        <v>168</v>
      </c>
      <c r="P56" s="51" t="s">
        <v>168</v>
      </c>
      <c r="Q56" s="51" t="s">
        <v>168</v>
      </c>
      <c r="S56" s="51" t="s">
        <v>295</v>
      </c>
      <c r="T56" s="51" t="s">
        <v>139</v>
      </c>
      <c r="U56" s="51" t="s">
        <v>140</v>
      </c>
      <c r="V56" s="51" t="s">
        <v>158</v>
      </c>
      <c r="W56" s="51">
        <v>1</v>
      </c>
      <c r="X56" s="51" t="s">
        <v>142</v>
      </c>
      <c r="AA56" s="51" t="s">
        <v>59</v>
      </c>
      <c r="AB56" s="51" t="s">
        <v>58</v>
      </c>
      <c r="AC56" s="51" t="s">
        <v>696</v>
      </c>
      <c r="AD56" s="51">
        <v>9</v>
      </c>
      <c r="AE56" s="51">
        <v>2</v>
      </c>
      <c r="AF56" s="51">
        <v>20</v>
      </c>
    </row>
    <row r="57" spans="2:32" x14ac:dyDescent="0.25">
      <c r="B57" s="51" t="s">
        <v>314</v>
      </c>
      <c r="C57" s="51" t="s">
        <v>223</v>
      </c>
      <c r="E57" s="51" t="s">
        <v>171</v>
      </c>
      <c r="F57" s="51" t="s">
        <v>194</v>
      </c>
      <c r="G57" s="51" t="s">
        <v>194</v>
      </c>
      <c r="H57" s="51" t="s">
        <v>271</v>
      </c>
      <c r="I57" s="51" t="s">
        <v>271</v>
      </c>
      <c r="J57" s="51" t="s">
        <v>271</v>
      </c>
      <c r="K57" s="51" t="s">
        <v>271</v>
      </c>
      <c r="L57" s="51" t="s">
        <v>271</v>
      </c>
      <c r="M57" s="51" t="s">
        <v>170</v>
      </c>
      <c r="N57" s="51" t="s">
        <v>170</v>
      </c>
      <c r="O57" s="51" t="s">
        <v>170</v>
      </c>
      <c r="P57" s="51" t="s">
        <v>170</v>
      </c>
      <c r="Q57" s="51" t="s">
        <v>170</v>
      </c>
      <c r="S57" s="51" t="s">
        <v>295</v>
      </c>
      <c r="T57" s="51" t="s">
        <v>139</v>
      </c>
      <c r="U57" s="51" t="s">
        <v>139</v>
      </c>
      <c r="V57" s="51" t="s">
        <v>159</v>
      </c>
      <c r="W57" s="51">
        <v>1</v>
      </c>
      <c r="X57" s="51" t="s">
        <v>142</v>
      </c>
      <c r="Y57" s="51" t="s">
        <v>452</v>
      </c>
      <c r="AA57" s="51" t="s">
        <v>103</v>
      </c>
      <c r="AB57" s="51" t="s">
        <v>99</v>
      </c>
      <c r="AC57" s="51" t="s">
        <v>83</v>
      </c>
      <c r="AD57" s="51">
        <v>22</v>
      </c>
      <c r="AE57" s="51">
        <v>5</v>
      </c>
      <c r="AF57" s="51">
        <v>42</v>
      </c>
    </row>
    <row r="58" spans="2:32" x14ac:dyDescent="0.25">
      <c r="B58" s="51" t="s">
        <v>382</v>
      </c>
      <c r="C58" s="51" t="s">
        <v>223</v>
      </c>
      <c r="E58" s="51" t="s">
        <v>172</v>
      </c>
      <c r="F58" s="51" t="s">
        <v>194</v>
      </c>
      <c r="G58" s="51" t="s">
        <v>194</v>
      </c>
      <c r="H58" s="51" t="s">
        <v>271</v>
      </c>
      <c r="I58" s="51" t="s">
        <v>271</v>
      </c>
      <c r="J58" s="51" t="s">
        <v>271</v>
      </c>
      <c r="K58" s="51" t="s">
        <v>271</v>
      </c>
      <c r="L58" s="51" t="s">
        <v>271</v>
      </c>
      <c r="M58" s="51" t="s">
        <v>170</v>
      </c>
      <c r="N58" s="51" t="s">
        <v>170</v>
      </c>
      <c r="O58" s="51" t="s">
        <v>170</v>
      </c>
      <c r="P58" s="51" t="s">
        <v>170</v>
      </c>
      <c r="Q58" s="51" t="s">
        <v>170</v>
      </c>
      <c r="S58" s="51" t="s">
        <v>296</v>
      </c>
      <c r="T58" s="51" t="s">
        <v>139</v>
      </c>
      <c r="U58" s="51" t="s">
        <v>140</v>
      </c>
      <c r="V58" s="51" t="s">
        <v>158</v>
      </c>
      <c r="W58" s="51">
        <v>1</v>
      </c>
      <c r="X58" s="51" t="s">
        <v>142</v>
      </c>
      <c r="AA58" s="51" t="s">
        <v>104</v>
      </c>
      <c r="AB58" s="51" t="s">
        <v>99</v>
      </c>
      <c r="AC58" s="51" t="s">
        <v>83</v>
      </c>
      <c r="AD58" s="51">
        <v>22</v>
      </c>
      <c r="AE58" s="51">
        <v>5</v>
      </c>
      <c r="AF58" s="51">
        <v>43</v>
      </c>
    </row>
    <row r="59" spans="2:32" x14ac:dyDescent="0.25">
      <c r="B59" s="51" t="s">
        <v>226</v>
      </c>
      <c r="C59" s="51" t="s">
        <v>227</v>
      </c>
      <c r="E59" s="51" t="s">
        <v>179</v>
      </c>
      <c r="F59" s="51" t="s">
        <v>194</v>
      </c>
      <c r="G59" s="51" t="s">
        <v>194</v>
      </c>
      <c r="H59" s="51" t="s">
        <v>271</v>
      </c>
      <c r="I59" s="51" t="s">
        <v>271</v>
      </c>
      <c r="J59" s="51" t="s">
        <v>271</v>
      </c>
      <c r="K59" s="51" t="s">
        <v>271</v>
      </c>
      <c r="L59" s="51" t="s">
        <v>271</v>
      </c>
      <c r="M59" s="51" t="s">
        <v>174</v>
      </c>
      <c r="N59" s="51" t="s">
        <v>174</v>
      </c>
      <c r="O59" s="51" t="s">
        <v>174</v>
      </c>
      <c r="P59" s="51" t="s">
        <v>174</v>
      </c>
      <c r="Q59" s="51" t="s">
        <v>174</v>
      </c>
      <c r="S59" s="51" t="s">
        <v>296</v>
      </c>
      <c r="T59" s="51" t="s">
        <v>139</v>
      </c>
      <c r="U59" s="51" t="s">
        <v>139</v>
      </c>
      <c r="V59" s="51" t="s">
        <v>159</v>
      </c>
      <c r="W59" s="51">
        <v>1</v>
      </c>
      <c r="X59" s="51" t="s">
        <v>142</v>
      </c>
      <c r="Y59" s="51" t="s">
        <v>452</v>
      </c>
      <c r="AA59" s="51" t="s">
        <v>105</v>
      </c>
      <c r="AB59" s="51" t="s">
        <v>99</v>
      </c>
      <c r="AC59" s="51" t="s">
        <v>83</v>
      </c>
      <c r="AD59" s="51">
        <v>22</v>
      </c>
      <c r="AE59" s="51">
        <v>5</v>
      </c>
      <c r="AF59" s="51">
        <v>44</v>
      </c>
    </row>
    <row r="60" spans="2:32" x14ac:dyDescent="0.25">
      <c r="B60" s="51" t="s">
        <v>228</v>
      </c>
      <c r="C60" s="51" t="s">
        <v>227</v>
      </c>
      <c r="E60" s="51" t="s">
        <v>183</v>
      </c>
      <c r="F60" s="51" t="s">
        <v>194</v>
      </c>
      <c r="G60" s="51" t="s">
        <v>194</v>
      </c>
      <c r="H60" s="51" t="s">
        <v>271</v>
      </c>
      <c r="I60" s="51" t="s">
        <v>271</v>
      </c>
      <c r="J60" s="51" t="s">
        <v>271</v>
      </c>
      <c r="K60" s="51" t="s">
        <v>271</v>
      </c>
      <c r="L60" s="51" t="s">
        <v>271</v>
      </c>
      <c r="M60" s="51" t="s">
        <v>182</v>
      </c>
      <c r="N60" s="51" t="s">
        <v>182</v>
      </c>
      <c r="O60" s="51" t="s">
        <v>182</v>
      </c>
      <c r="P60" s="51" t="s">
        <v>182</v>
      </c>
      <c r="Q60" s="51" t="s">
        <v>182</v>
      </c>
      <c r="S60" s="51" t="s">
        <v>335</v>
      </c>
      <c r="T60" s="51" t="s">
        <v>18</v>
      </c>
      <c r="U60" s="51" t="s">
        <v>18</v>
      </c>
      <c r="V60" s="51" t="s">
        <v>158</v>
      </c>
      <c r="W60" s="51">
        <v>1</v>
      </c>
      <c r="X60" s="51" t="s">
        <v>142</v>
      </c>
      <c r="AA60" s="51" t="s">
        <v>78</v>
      </c>
      <c r="AB60" s="51" t="s">
        <v>77</v>
      </c>
      <c r="AC60" s="51" t="s">
        <v>60</v>
      </c>
      <c r="AD60" s="51">
        <v>18</v>
      </c>
      <c r="AE60" s="51">
        <v>3</v>
      </c>
      <c r="AF60" s="51">
        <v>29</v>
      </c>
    </row>
    <row r="61" spans="2:32" x14ac:dyDescent="0.25">
      <c r="B61" s="51" t="s">
        <v>285</v>
      </c>
      <c r="C61" s="51" t="s">
        <v>223</v>
      </c>
      <c r="E61" s="51" t="s">
        <v>181</v>
      </c>
      <c r="F61" s="51" t="s">
        <v>194</v>
      </c>
      <c r="G61" s="51" t="s">
        <v>194</v>
      </c>
      <c r="H61" s="51" t="s">
        <v>271</v>
      </c>
      <c r="I61" s="51" t="s">
        <v>271</v>
      </c>
      <c r="J61" s="51" t="s">
        <v>271</v>
      </c>
      <c r="K61" s="51" t="s">
        <v>271</v>
      </c>
      <c r="L61" s="51" t="s">
        <v>271</v>
      </c>
      <c r="M61" s="51" t="s">
        <v>180</v>
      </c>
      <c r="N61" s="51" t="s">
        <v>180</v>
      </c>
      <c r="O61" s="51" t="s">
        <v>180</v>
      </c>
      <c r="P61" s="51" t="s">
        <v>180</v>
      </c>
      <c r="Q61" s="51" t="s">
        <v>180</v>
      </c>
      <c r="S61" s="51" t="s">
        <v>280</v>
      </c>
      <c r="T61" s="51" t="s">
        <v>17</v>
      </c>
      <c r="U61" s="51" t="s">
        <v>17</v>
      </c>
      <c r="V61" s="51" t="s">
        <v>157</v>
      </c>
      <c r="W61" s="51">
        <v>1</v>
      </c>
      <c r="X61" s="51" t="s">
        <v>142</v>
      </c>
      <c r="AA61" s="51" t="s">
        <v>80</v>
      </c>
      <c r="AB61" s="51" t="s">
        <v>79</v>
      </c>
      <c r="AC61" s="51" t="s">
        <v>60</v>
      </c>
      <c r="AD61" s="51">
        <v>19</v>
      </c>
      <c r="AE61" s="51">
        <v>3</v>
      </c>
      <c r="AF61" s="51">
        <v>30</v>
      </c>
    </row>
    <row r="62" spans="2:32" x14ac:dyDescent="0.25">
      <c r="B62" s="51" t="s">
        <v>383</v>
      </c>
      <c r="C62" s="51" t="s">
        <v>223</v>
      </c>
      <c r="E62" s="51" t="s">
        <v>201</v>
      </c>
      <c r="F62" s="51" t="s">
        <v>194</v>
      </c>
      <c r="G62" s="51" t="s">
        <v>194</v>
      </c>
      <c r="H62" s="51" t="s">
        <v>271</v>
      </c>
      <c r="I62" s="51" t="s">
        <v>271</v>
      </c>
      <c r="J62" s="51" t="s">
        <v>271</v>
      </c>
      <c r="K62" s="51" t="s">
        <v>271</v>
      </c>
      <c r="L62" s="51" t="s">
        <v>271</v>
      </c>
      <c r="M62" s="51" t="s">
        <v>202</v>
      </c>
      <c r="N62" s="51" t="s">
        <v>202</v>
      </c>
      <c r="O62" s="51" t="s">
        <v>202</v>
      </c>
      <c r="P62" s="51" t="s">
        <v>202</v>
      </c>
      <c r="Q62" s="51" t="s">
        <v>202</v>
      </c>
      <c r="S62" s="51" t="s">
        <v>280</v>
      </c>
      <c r="T62" s="51" t="s">
        <v>17</v>
      </c>
      <c r="U62" s="51" t="s">
        <v>17</v>
      </c>
      <c r="V62" s="51" t="s">
        <v>162</v>
      </c>
      <c r="W62" s="51">
        <v>1</v>
      </c>
      <c r="X62" s="51" t="s">
        <v>142</v>
      </c>
      <c r="AA62" s="51" t="s">
        <v>156</v>
      </c>
      <c r="AB62" s="51" t="s">
        <v>152</v>
      </c>
      <c r="AC62" s="51" t="s">
        <v>141</v>
      </c>
      <c r="AD62" s="51">
        <v>3</v>
      </c>
      <c r="AE62" s="51">
        <v>1</v>
      </c>
      <c r="AF62" s="51">
        <v>12</v>
      </c>
    </row>
    <row r="63" spans="2:32" x14ac:dyDescent="0.25">
      <c r="B63" s="51" t="s">
        <v>384</v>
      </c>
      <c r="C63" s="51" t="s">
        <v>223</v>
      </c>
      <c r="E63" s="51" t="s">
        <v>185</v>
      </c>
      <c r="F63" s="51" t="s">
        <v>194</v>
      </c>
      <c r="G63" s="51" t="s">
        <v>194</v>
      </c>
      <c r="H63" s="51" t="s">
        <v>271</v>
      </c>
      <c r="I63" s="51" t="s">
        <v>271</v>
      </c>
      <c r="J63" s="51" t="s">
        <v>271</v>
      </c>
      <c r="K63" s="51" t="s">
        <v>271</v>
      </c>
      <c r="L63" s="51" t="s">
        <v>271</v>
      </c>
      <c r="M63" s="51" t="s">
        <v>184</v>
      </c>
      <c r="N63" s="51" t="s">
        <v>184</v>
      </c>
      <c r="O63" s="51" t="s">
        <v>184</v>
      </c>
      <c r="P63" s="51" t="s">
        <v>184</v>
      </c>
      <c r="Q63" s="51" t="s">
        <v>184</v>
      </c>
      <c r="S63" s="51" t="s">
        <v>280</v>
      </c>
      <c r="T63" s="51" t="s">
        <v>17</v>
      </c>
      <c r="U63" s="51" t="s">
        <v>17</v>
      </c>
      <c r="V63" s="51" t="s">
        <v>159</v>
      </c>
      <c r="W63" s="51">
        <v>1</v>
      </c>
      <c r="X63" s="51" t="s">
        <v>142</v>
      </c>
      <c r="AA63" s="51" t="s">
        <v>106</v>
      </c>
      <c r="AB63" s="51" t="s">
        <v>99</v>
      </c>
      <c r="AC63" s="51" t="s">
        <v>83</v>
      </c>
      <c r="AD63" s="51">
        <v>22</v>
      </c>
      <c r="AE63" s="51">
        <v>5</v>
      </c>
      <c r="AF63" s="51">
        <v>45</v>
      </c>
    </row>
    <row r="64" spans="2:32" ht="15.75" thickBot="1" x14ac:dyDescent="0.3">
      <c r="B64" s="51" t="s">
        <v>327</v>
      </c>
      <c r="C64" s="51" t="s">
        <v>223</v>
      </c>
      <c r="E64" s="51" t="s">
        <v>187</v>
      </c>
      <c r="F64" s="51" t="s">
        <v>194</v>
      </c>
      <c r="G64" s="51" t="s">
        <v>194</v>
      </c>
      <c r="H64" s="51" t="s">
        <v>271</v>
      </c>
      <c r="I64" s="51" t="s">
        <v>271</v>
      </c>
      <c r="J64" s="51" t="s">
        <v>271</v>
      </c>
      <c r="K64" s="51" t="s">
        <v>271</v>
      </c>
      <c r="L64" s="51" t="s">
        <v>271</v>
      </c>
      <c r="M64" s="51" t="s">
        <v>186</v>
      </c>
      <c r="N64" s="51" t="s">
        <v>186</v>
      </c>
      <c r="O64" s="51" t="s">
        <v>186</v>
      </c>
      <c r="P64" s="51" t="s">
        <v>186</v>
      </c>
      <c r="Q64" s="51" t="s">
        <v>186</v>
      </c>
      <c r="S64" s="51" t="s">
        <v>280</v>
      </c>
      <c r="T64" s="51" t="s">
        <v>17</v>
      </c>
      <c r="U64" s="51" t="s">
        <v>17</v>
      </c>
      <c r="V64" s="51" t="s">
        <v>160</v>
      </c>
      <c r="W64" s="51">
        <v>1</v>
      </c>
      <c r="X64" s="51" t="s">
        <v>142</v>
      </c>
      <c r="AA64" s="51" t="s">
        <v>92</v>
      </c>
      <c r="AB64" s="51" t="s">
        <v>84</v>
      </c>
      <c r="AC64" s="51" t="s">
        <v>83</v>
      </c>
      <c r="AD64" s="51">
        <v>21</v>
      </c>
      <c r="AE64" s="51">
        <v>5</v>
      </c>
      <c r="AF64" s="51">
        <v>38</v>
      </c>
    </row>
    <row r="65" spans="2:32" ht="15.75" thickBot="1" x14ac:dyDescent="0.3">
      <c r="B65" s="51" t="s">
        <v>376</v>
      </c>
      <c r="C65" s="51" t="s">
        <v>223</v>
      </c>
      <c r="E65" s="205" t="s">
        <v>232</v>
      </c>
      <c r="F65" s="51" t="s">
        <v>194</v>
      </c>
      <c r="G65" s="51" t="s">
        <v>194</v>
      </c>
      <c r="H65" s="51" t="s">
        <v>271</v>
      </c>
      <c r="I65" s="51" t="s">
        <v>271</v>
      </c>
      <c r="J65" s="51" t="s">
        <v>271</v>
      </c>
      <c r="K65" s="51" t="s">
        <v>271</v>
      </c>
      <c r="L65" s="51" t="s">
        <v>271</v>
      </c>
      <c r="M65" s="51" t="s">
        <v>233</v>
      </c>
      <c r="N65" s="51" t="s">
        <v>233</v>
      </c>
      <c r="O65" s="51" t="s">
        <v>233</v>
      </c>
      <c r="P65" s="51" t="s">
        <v>233</v>
      </c>
      <c r="Q65" s="51" t="s">
        <v>233</v>
      </c>
      <c r="S65" s="51" t="s">
        <v>307</v>
      </c>
      <c r="T65" s="51" t="s">
        <v>17</v>
      </c>
      <c r="U65" s="51" t="s">
        <v>17</v>
      </c>
      <c r="V65" s="51" t="s">
        <v>157</v>
      </c>
      <c r="W65" s="51">
        <v>1</v>
      </c>
      <c r="X65" s="51" t="s">
        <v>142</v>
      </c>
      <c r="AA65" s="51" t="s">
        <v>137</v>
      </c>
      <c r="AB65" s="51" t="s">
        <v>136</v>
      </c>
      <c r="AC65" s="51" t="s">
        <v>135</v>
      </c>
      <c r="AD65" s="51">
        <v>29</v>
      </c>
      <c r="AE65" s="51">
        <v>7</v>
      </c>
      <c r="AF65" s="51">
        <v>52</v>
      </c>
    </row>
    <row r="66" spans="2:32" ht="15.75" thickBot="1" x14ac:dyDescent="0.3">
      <c r="B66" s="51" t="s">
        <v>229</v>
      </c>
      <c r="C66" s="51" t="s">
        <v>223</v>
      </c>
      <c r="E66" s="206" t="s">
        <v>234</v>
      </c>
      <c r="F66" s="51" t="s">
        <v>194</v>
      </c>
      <c r="G66" s="51" t="s">
        <v>194</v>
      </c>
      <c r="H66" s="51" t="s">
        <v>271</v>
      </c>
      <c r="I66" s="51" t="s">
        <v>271</v>
      </c>
      <c r="J66" s="51" t="s">
        <v>271</v>
      </c>
      <c r="K66" s="51" t="s">
        <v>271</v>
      </c>
      <c r="L66" s="51" t="s">
        <v>271</v>
      </c>
      <c r="M66" s="51" t="s">
        <v>233</v>
      </c>
      <c r="N66" s="51" t="s">
        <v>233</v>
      </c>
      <c r="O66" s="51" t="s">
        <v>233</v>
      </c>
      <c r="P66" s="51" t="s">
        <v>233</v>
      </c>
      <c r="Q66" s="51" t="s">
        <v>233</v>
      </c>
      <c r="S66" s="51" t="s">
        <v>301</v>
      </c>
      <c r="T66" s="51" t="s">
        <v>17</v>
      </c>
      <c r="U66" s="51" t="s">
        <v>17</v>
      </c>
      <c r="V66" s="51" t="s">
        <v>157</v>
      </c>
      <c r="W66" s="51">
        <v>1</v>
      </c>
      <c r="X66" s="51" t="s">
        <v>142</v>
      </c>
      <c r="AA66" s="207" t="s">
        <v>132</v>
      </c>
      <c r="AB66" s="51" t="s">
        <v>130</v>
      </c>
      <c r="AC66" s="51" t="s">
        <v>109</v>
      </c>
      <c r="AD66" s="51">
        <v>27</v>
      </c>
      <c r="AE66" s="51">
        <v>6</v>
      </c>
      <c r="AF66" s="51">
        <v>53</v>
      </c>
    </row>
    <row r="67" spans="2:32" ht="15.75" thickBot="1" x14ac:dyDescent="0.3">
      <c r="B67" s="51" t="s">
        <v>402</v>
      </c>
      <c r="C67" s="51" t="s">
        <v>223</v>
      </c>
      <c r="E67" s="206" t="s">
        <v>235</v>
      </c>
      <c r="F67" s="51" t="s">
        <v>194</v>
      </c>
      <c r="G67" s="51" t="s">
        <v>194</v>
      </c>
      <c r="H67" s="51" t="s">
        <v>271</v>
      </c>
      <c r="I67" s="51" t="s">
        <v>271</v>
      </c>
      <c r="J67" s="51" t="s">
        <v>271</v>
      </c>
      <c r="K67" s="51" t="s">
        <v>271</v>
      </c>
      <c r="L67" s="51" t="s">
        <v>271</v>
      </c>
      <c r="M67" s="51" t="s">
        <v>233</v>
      </c>
      <c r="N67" s="51" t="s">
        <v>233</v>
      </c>
      <c r="O67" s="51" t="s">
        <v>233</v>
      </c>
      <c r="P67" s="51" t="s">
        <v>233</v>
      </c>
      <c r="Q67" s="51" t="s">
        <v>233</v>
      </c>
      <c r="S67" s="51" t="s">
        <v>301</v>
      </c>
      <c r="T67" s="51" t="s">
        <v>17</v>
      </c>
      <c r="U67" s="51" t="s">
        <v>17</v>
      </c>
      <c r="V67" s="51" t="s">
        <v>158</v>
      </c>
      <c r="W67" s="51">
        <v>1</v>
      </c>
      <c r="X67" s="51" t="s">
        <v>142</v>
      </c>
      <c r="AA67" s="207" t="s">
        <v>107</v>
      </c>
      <c r="AB67" s="51" t="s">
        <v>99</v>
      </c>
      <c r="AC67" s="51" t="s">
        <v>83</v>
      </c>
      <c r="AD67" s="51">
        <v>22</v>
      </c>
      <c r="AE67" s="51">
        <v>5</v>
      </c>
      <c r="AF67" s="51">
        <v>54</v>
      </c>
    </row>
    <row r="68" spans="2:32" x14ac:dyDescent="0.25">
      <c r="B68" s="51" t="s">
        <v>328</v>
      </c>
      <c r="C68" s="51" t="s">
        <v>223</v>
      </c>
      <c r="E68" s="208" t="s">
        <v>200</v>
      </c>
      <c r="F68" s="51" t="s">
        <v>194</v>
      </c>
      <c r="G68" s="51" t="s">
        <v>194</v>
      </c>
      <c r="H68" s="51" t="s">
        <v>271</v>
      </c>
      <c r="I68" s="51" t="s">
        <v>271</v>
      </c>
      <c r="J68" s="51" t="s">
        <v>271</v>
      </c>
      <c r="K68" s="51" t="s">
        <v>271</v>
      </c>
      <c r="L68" s="51" t="s">
        <v>271</v>
      </c>
      <c r="M68" s="51" t="s">
        <v>180</v>
      </c>
      <c r="N68" s="51" t="s">
        <v>180</v>
      </c>
      <c r="O68" s="51" t="s">
        <v>180</v>
      </c>
      <c r="P68" s="51" t="s">
        <v>180</v>
      </c>
      <c r="Q68" s="51" t="s">
        <v>180</v>
      </c>
      <c r="S68" s="51" t="s">
        <v>301</v>
      </c>
      <c r="T68" s="51" t="s">
        <v>17</v>
      </c>
      <c r="U68" s="51" t="s">
        <v>17</v>
      </c>
      <c r="V68" s="51" t="s">
        <v>160</v>
      </c>
      <c r="W68" s="51">
        <v>1</v>
      </c>
      <c r="X68" s="51" t="s">
        <v>142</v>
      </c>
      <c r="AA68" s="51" t="s">
        <v>93</v>
      </c>
      <c r="AB68" s="51" t="s">
        <v>84</v>
      </c>
      <c r="AC68" s="51" t="s">
        <v>83</v>
      </c>
      <c r="AD68" s="51">
        <v>21</v>
      </c>
      <c r="AE68" s="51">
        <v>5</v>
      </c>
      <c r="AF68" s="51">
        <v>55</v>
      </c>
    </row>
    <row r="69" spans="2:32" x14ac:dyDescent="0.25">
      <c r="B69" s="51" t="s">
        <v>377</v>
      </c>
      <c r="C69" s="51" t="s">
        <v>223</v>
      </c>
      <c r="E69" s="51" t="s">
        <v>657</v>
      </c>
      <c r="F69" s="51" t="s">
        <v>194</v>
      </c>
      <c r="G69" s="51" t="s">
        <v>194</v>
      </c>
      <c r="H69" s="51" t="s">
        <v>238</v>
      </c>
      <c r="I69" s="51" t="s">
        <v>245</v>
      </c>
      <c r="J69" s="51" t="s">
        <v>245</v>
      </c>
      <c r="K69" s="51" t="s">
        <v>245</v>
      </c>
      <c r="L69" s="51" t="s">
        <v>245</v>
      </c>
      <c r="M69" s="51" t="s">
        <v>282</v>
      </c>
      <c r="N69" s="51" t="s">
        <v>282</v>
      </c>
      <c r="O69" s="51" t="s">
        <v>282</v>
      </c>
      <c r="P69" s="51" t="s">
        <v>282</v>
      </c>
      <c r="Q69" s="51" t="s">
        <v>282</v>
      </c>
      <c r="S69" s="51" t="s">
        <v>274</v>
      </c>
      <c r="T69" s="51" t="s">
        <v>138</v>
      </c>
      <c r="U69" s="51" t="s">
        <v>275</v>
      </c>
      <c r="V69" s="51" t="s">
        <v>158</v>
      </c>
      <c r="W69" s="51">
        <v>1</v>
      </c>
      <c r="X69" s="51" t="s">
        <v>142</v>
      </c>
      <c r="AA69" s="207" t="s">
        <v>128</v>
      </c>
      <c r="AB69" s="51" t="s">
        <v>126</v>
      </c>
      <c r="AC69" s="51" t="s">
        <v>109</v>
      </c>
      <c r="AD69" s="51">
        <v>26</v>
      </c>
      <c r="AE69" s="51">
        <v>6</v>
      </c>
      <c r="AF69" s="51">
        <v>63</v>
      </c>
    </row>
    <row r="70" spans="2:32" x14ac:dyDescent="0.25">
      <c r="B70" s="51" t="s">
        <v>334</v>
      </c>
      <c r="C70" s="51" t="s">
        <v>223</v>
      </c>
      <c r="E70" s="51" t="s">
        <v>658</v>
      </c>
      <c r="F70" s="51" t="s">
        <v>194</v>
      </c>
      <c r="G70" s="51" t="s">
        <v>194</v>
      </c>
      <c r="H70" s="51" t="s">
        <v>271</v>
      </c>
      <c r="I70" s="51" t="s">
        <v>271</v>
      </c>
      <c r="J70" s="51" t="s">
        <v>271</v>
      </c>
      <c r="K70" s="51" t="s">
        <v>271</v>
      </c>
      <c r="L70" s="51" t="s">
        <v>271</v>
      </c>
      <c r="M70" s="51" t="s">
        <v>659</v>
      </c>
      <c r="N70" s="51" t="s">
        <v>659</v>
      </c>
      <c r="O70" s="51" t="s">
        <v>659</v>
      </c>
      <c r="P70" s="51" t="s">
        <v>659</v>
      </c>
      <c r="Q70" s="51" t="s">
        <v>659</v>
      </c>
      <c r="S70" s="51" t="s">
        <v>300</v>
      </c>
      <c r="T70" s="51" t="s">
        <v>17</v>
      </c>
      <c r="U70" s="51" t="s">
        <v>17</v>
      </c>
      <c r="V70" s="51" t="s">
        <v>157</v>
      </c>
      <c r="W70" s="51">
        <v>1</v>
      </c>
      <c r="X70" s="51" t="s">
        <v>142</v>
      </c>
      <c r="AA70" s="207" t="s">
        <v>119</v>
      </c>
      <c r="AB70" s="51" t="s">
        <v>117</v>
      </c>
      <c r="AC70" s="51" t="s">
        <v>109</v>
      </c>
      <c r="AD70" s="51">
        <v>25</v>
      </c>
      <c r="AE70" s="51">
        <v>6</v>
      </c>
      <c r="AF70" s="51">
        <v>58</v>
      </c>
    </row>
    <row r="71" spans="2:32" x14ac:dyDescent="0.25">
      <c r="B71" s="51" t="s">
        <v>214</v>
      </c>
      <c r="C71" s="51" t="s">
        <v>4</v>
      </c>
      <c r="S71" s="51" t="s">
        <v>300</v>
      </c>
      <c r="T71" s="51" t="s">
        <v>17</v>
      </c>
      <c r="U71" s="51" t="s">
        <v>17</v>
      </c>
      <c r="V71" s="51" t="s">
        <v>162</v>
      </c>
      <c r="W71" s="51">
        <v>1</v>
      </c>
      <c r="X71" s="51" t="s">
        <v>142</v>
      </c>
      <c r="AA71" s="207" t="s">
        <v>115</v>
      </c>
      <c r="AB71" s="51" t="s">
        <v>113</v>
      </c>
      <c r="AC71" s="51" t="s">
        <v>109</v>
      </c>
      <c r="AD71" s="51">
        <v>24</v>
      </c>
      <c r="AE71" s="51">
        <v>6</v>
      </c>
      <c r="AF71" s="51">
        <v>56</v>
      </c>
    </row>
    <row r="72" spans="2:32" x14ac:dyDescent="0.25">
      <c r="B72" s="51" t="s">
        <v>220</v>
      </c>
      <c r="C72" s="51" t="s">
        <v>4</v>
      </c>
      <c r="S72" s="51" t="s">
        <v>300</v>
      </c>
      <c r="T72" s="51" t="s">
        <v>17</v>
      </c>
      <c r="U72" s="51" t="s">
        <v>17</v>
      </c>
      <c r="V72" s="51" t="s">
        <v>158</v>
      </c>
      <c r="W72" s="51">
        <v>1</v>
      </c>
      <c r="X72" s="51" t="s">
        <v>142</v>
      </c>
      <c r="AA72" s="207" t="s">
        <v>120</v>
      </c>
      <c r="AB72" s="51" t="s">
        <v>117</v>
      </c>
      <c r="AC72" s="51" t="s">
        <v>109</v>
      </c>
      <c r="AD72" s="51">
        <v>25</v>
      </c>
      <c r="AE72" s="51">
        <v>6</v>
      </c>
      <c r="AF72" s="51">
        <v>59</v>
      </c>
    </row>
    <row r="73" spans="2:32" x14ac:dyDescent="0.25">
      <c r="B73" s="51" t="s">
        <v>403</v>
      </c>
      <c r="C73" s="51" t="s">
        <v>223</v>
      </c>
      <c r="S73" s="51" t="s">
        <v>300</v>
      </c>
      <c r="T73" s="51" t="s">
        <v>17</v>
      </c>
      <c r="U73" s="51" t="s">
        <v>17</v>
      </c>
      <c r="V73" s="51" t="s">
        <v>159</v>
      </c>
      <c r="W73" s="51">
        <v>1</v>
      </c>
      <c r="X73" s="51" t="s">
        <v>142</v>
      </c>
      <c r="AA73" s="207" t="s">
        <v>121</v>
      </c>
      <c r="AB73" s="51" t="s">
        <v>117</v>
      </c>
      <c r="AC73" s="51" t="s">
        <v>109</v>
      </c>
      <c r="AD73" s="51">
        <v>25</v>
      </c>
      <c r="AE73" s="51">
        <v>6</v>
      </c>
      <c r="AF73" s="51">
        <v>60</v>
      </c>
    </row>
    <row r="74" spans="2:32" x14ac:dyDescent="0.25">
      <c r="B74" s="51" t="s">
        <v>3</v>
      </c>
      <c r="C74" s="51" t="s">
        <v>4</v>
      </c>
      <c r="S74" s="51" t="s">
        <v>300</v>
      </c>
      <c r="T74" s="51" t="s">
        <v>17</v>
      </c>
      <c r="U74" s="51" t="s">
        <v>17</v>
      </c>
      <c r="V74" s="51" t="s">
        <v>160</v>
      </c>
      <c r="W74" s="51">
        <v>1</v>
      </c>
      <c r="X74" s="51" t="s">
        <v>142</v>
      </c>
      <c r="AA74" s="207" t="s">
        <v>124</v>
      </c>
      <c r="AB74" s="51" t="s">
        <v>117</v>
      </c>
      <c r="AC74" s="51" t="s">
        <v>109</v>
      </c>
      <c r="AD74" s="51">
        <v>25</v>
      </c>
      <c r="AE74" s="51">
        <v>6</v>
      </c>
      <c r="AF74" s="51">
        <v>64</v>
      </c>
    </row>
    <row r="75" spans="2:32" x14ac:dyDescent="0.25">
      <c r="B75" s="51" t="s">
        <v>215</v>
      </c>
      <c r="C75" s="51" t="s">
        <v>4</v>
      </c>
      <c r="S75" s="51" t="s">
        <v>246</v>
      </c>
      <c r="T75" s="51" t="s">
        <v>17</v>
      </c>
      <c r="U75" s="51" t="s">
        <v>17</v>
      </c>
      <c r="V75" s="51" t="s">
        <v>158</v>
      </c>
      <c r="W75" s="51">
        <v>1</v>
      </c>
      <c r="X75" s="51" t="s">
        <v>142</v>
      </c>
      <c r="AA75" s="207" t="s">
        <v>122</v>
      </c>
      <c r="AB75" s="51" t="s">
        <v>117</v>
      </c>
      <c r="AC75" s="51" t="s">
        <v>109</v>
      </c>
      <c r="AD75" s="51">
        <v>25</v>
      </c>
      <c r="AE75" s="51">
        <v>6</v>
      </c>
      <c r="AF75" s="51">
        <v>61</v>
      </c>
    </row>
    <row r="76" spans="2:32" x14ac:dyDescent="0.25">
      <c r="B76" s="51" t="s">
        <v>216</v>
      </c>
      <c r="C76" s="51" t="s">
        <v>4</v>
      </c>
      <c r="S76" s="51" t="s">
        <v>309</v>
      </c>
      <c r="T76" s="51" t="s">
        <v>17</v>
      </c>
      <c r="U76" s="51" t="s">
        <v>17</v>
      </c>
      <c r="V76" s="51" t="s">
        <v>158</v>
      </c>
      <c r="W76" s="51">
        <v>1</v>
      </c>
      <c r="X76" s="51" t="s">
        <v>142</v>
      </c>
      <c r="AA76" s="207" t="s">
        <v>123</v>
      </c>
      <c r="AB76" s="51" t="s">
        <v>117</v>
      </c>
      <c r="AC76" s="51" t="s">
        <v>109</v>
      </c>
      <c r="AD76" s="51">
        <v>25</v>
      </c>
      <c r="AE76" s="51">
        <v>6</v>
      </c>
      <c r="AF76" s="51">
        <v>62</v>
      </c>
    </row>
    <row r="77" spans="2:32" x14ac:dyDescent="0.25">
      <c r="B77" s="51" t="s">
        <v>294</v>
      </c>
      <c r="C77" s="51" t="s">
        <v>223</v>
      </c>
      <c r="S77" s="51" t="s">
        <v>288</v>
      </c>
      <c r="T77" s="51" t="s">
        <v>17</v>
      </c>
      <c r="U77" s="51" t="s">
        <v>17</v>
      </c>
      <c r="V77" s="51" t="s">
        <v>157</v>
      </c>
      <c r="W77" s="51">
        <v>1</v>
      </c>
      <c r="X77" s="51" t="s">
        <v>142</v>
      </c>
      <c r="AA77" s="207" t="s">
        <v>129</v>
      </c>
      <c r="AB77" s="51" t="s">
        <v>126</v>
      </c>
      <c r="AC77" s="51" t="s">
        <v>109</v>
      </c>
      <c r="AD77" s="51">
        <v>26</v>
      </c>
      <c r="AE77" s="51">
        <v>6</v>
      </c>
      <c r="AF77" s="51">
        <v>65</v>
      </c>
    </row>
    <row r="78" spans="2:32" x14ac:dyDescent="0.25">
      <c r="B78" s="51" t="s">
        <v>329</v>
      </c>
      <c r="C78" s="51" t="s">
        <v>223</v>
      </c>
      <c r="S78" s="51" t="s">
        <v>288</v>
      </c>
      <c r="T78" s="51" t="s">
        <v>17</v>
      </c>
      <c r="U78" s="51" t="s">
        <v>17</v>
      </c>
      <c r="V78" s="51" t="s">
        <v>159</v>
      </c>
      <c r="W78" s="51">
        <v>1</v>
      </c>
      <c r="X78" s="51" t="s">
        <v>142</v>
      </c>
      <c r="AA78" s="207" t="s">
        <v>125</v>
      </c>
      <c r="AB78" s="51" t="s">
        <v>117</v>
      </c>
      <c r="AC78" s="51" t="s">
        <v>109</v>
      </c>
      <c r="AD78" s="51">
        <v>25</v>
      </c>
      <c r="AE78" s="51">
        <v>6</v>
      </c>
      <c r="AF78" s="51">
        <v>66</v>
      </c>
    </row>
    <row r="79" spans="2:32" x14ac:dyDescent="0.25">
      <c r="B79" s="51" t="s">
        <v>217</v>
      </c>
      <c r="C79" s="51" t="s">
        <v>4</v>
      </c>
      <c r="S79" s="51" t="s">
        <v>276</v>
      </c>
      <c r="T79" s="51" t="s">
        <v>138</v>
      </c>
      <c r="U79" s="51" t="s">
        <v>16</v>
      </c>
      <c r="V79" s="51" t="s">
        <v>158</v>
      </c>
      <c r="W79" s="51">
        <v>0.72222222222222221</v>
      </c>
      <c r="X79" s="51" t="s">
        <v>142</v>
      </c>
      <c r="AA79" s="207" t="s">
        <v>116</v>
      </c>
      <c r="AB79" s="51" t="s">
        <v>113</v>
      </c>
      <c r="AC79" s="51" t="s">
        <v>109</v>
      </c>
      <c r="AD79" s="51">
        <v>24</v>
      </c>
      <c r="AE79" s="51">
        <v>6</v>
      </c>
      <c r="AF79" s="51">
        <v>57</v>
      </c>
    </row>
    <row r="80" spans="2:32" x14ac:dyDescent="0.25">
      <c r="B80" s="51" t="s">
        <v>219</v>
      </c>
      <c r="C80" s="51" t="s">
        <v>4</v>
      </c>
      <c r="S80" s="51" t="s">
        <v>243</v>
      </c>
      <c r="T80" s="51" t="s">
        <v>138</v>
      </c>
      <c r="U80" s="51" t="s">
        <v>16</v>
      </c>
      <c r="V80" s="51" t="s">
        <v>158</v>
      </c>
      <c r="W80" s="51">
        <v>0.72222222222222221</v>
      </c>
      <c r="X80" s="51" t="s">
        <v>142</v>
      </c>
      <c r="AA80" s="51" t="s">
        <v>94</v>
      </c>
      <c r="AB80" s="51" t="s">
        <v>84</v>
      </c>
      <c r="AC80" s="51" t="s">
        <v>83</v>
      </c>
      <c r="AD80" s="51">
        <v>21</v>
      </c>
      <c r="AE80" s="51">
        <v>5</v>
      </c>
      <c r="AF80" s="51">
        <v>67</v>
      </c>
    </row>
    <row r="81" spans="2:32" x14ac:dyDescent="0.25">
      <c r="B81" s="51" t="s">
        <v>303</v>
      </c>
      <c r="C81" s="51" t="s">
        <v>225</v>
      </c>
      <c r="S81" s="51" t="s">
        <v>290</v>
      </c>
      <c r="T81" s="51" t="s">
        <v>17</v>
      </c>
      <c r="U81" s="51" t="s">
        <v>17</v>
      </c>
      <c r="V81" s="51" t="s">
        <v>158</v>
      </c>
      <c r="W81" s="51">
        <v>1</v>
      </c>
      <c r="X81" s="51" t="s">
        <v>142</v>
      </c>
      <c r="AA81" s="51" t="s">
        <v>112</v>
      </c>
      <c r="AB81" s="51" t="s">
        <v>110</v>
      </c>
      <c r="AC81" s="51" t="s">
        <v>109</v>
      </c>
      <c r="AD81" s="51">
        <v>23</v>
      </c>
      <c r="AE81" s="51">
        <v>6</v>
      </c>
      <c r="AF81" s="51">
        <v>68</v>
      </c>
    </row>
    <row r="82" spans="2:32" x14ac:dyDescent="0.25">
      <c r="B82" s="51" t="s">
        <v>404</v>
      </c>
      <c r="C82" s="51" t="s">
        <v>223</v>
      </c>
      <c r="S82" s="51" t="s">
        <v>290</v>
      </c>
      <c r="T82" s="51" t="s">
        <v>17</v>
      </c>
      <c r="U82" s="51" t="s">
        <v>17</v>
      </c>
      <c r="V82" s="51" t="s">
        <v>160</v>
      </c>
      <c r="W82" s="51">
        <v>1</v>
      </c>
      <c r="X82" s="51" t="s">
        <v>142</v>
      </c>
      <c r="AA82" s="51" t="s">
        <v>95</v>
      </c>
      <c r="AB82" s="51" t="s">
        <v>84</v>
      </c>
      <c r="AC82" s="51" t="s">
        <v>83</v>
      </c>
      <c r="AD82" s="51">
        <v>21</v>
      </c>
      <c r="AE82" s="51">
        <v>5</v>
      </c>
      <c r="AF82" s="51">
        <v>69</v>
      </c>
    </row>
    <row r="83" spans="2:32" x14ac:dyDescent="0.25">
      <c r="B83" s="51" t="s">
        <v>332</v>
      </c>
      <c r="C83" s="51" t="s">
        <v>223</v>
      </c>
      <c r="S83" s="51" t="s">
        <v>292</v>
      </c>
      <c r="T83" s="51" t="s">
        <v>17</v>
      </c>
      <c r="U83" s="51" t="s">
        <v>17</v>
      </c>
      <c r="V83" s="51" t="s">
        <v>157</v>
      </c>
      <c r="W83" s="51">
        <v>1</v>
      </c>
      <c r="X83" s="51" t="s">
        <v>142</v>
      </c>
      <c r="AA83" s="51" t="s">
        <v>96</v>
      </c>
      <c r="AB83" s="51" t="s">
        <v>84</v>
      </c>
      <c r="AC83" s="51" t="s">
        <v>83</v>
      </c>
      <c r="AD83" s="51">
        <v>21</v>
      </c>
      <c r="AE83" s="51">
        <v>5</v>
      </c>
      <c r="AF83" s="51">
        <v>70</v>
      </c>
    </row>
    <row r="84" spans="2:32" x14ac:dyDescent="0.25">
      <c r="B84" s="51" t="s">
        <v>333</v>
      </c>
      <c r="C84" s="51" t="s">
        <v>223</v>
      </c>
      <c r="S84" s="51" t="s">
        <v>292</v>
      </c>
      <c r="T84" s="51" t="s">
        <v>17</v>
      </c>
      <c r="U84" s="51" t="s">
        <v>17</v>
      </c>
      <c r="V84" s="51" t="s">
        <v>162</v>
      </c>
      <c r="W84" s="51">
        <v>1</v>
      </c>
      <c r="X84" s="51" t="s">
        <v>142</v>
      </c>
      <c r="AA84" s="51" t="s">
        <v>108</v>
      </c>
      <c r="AB84" s="51" t="s">
        <v>99</v>
      </c>
      <c r="AC84" s="51" t="s">
        <v>83</v>
      </c>
      <c r="AD84" s="51">
        <v>22</v>
      </c>
      <c r="AE84" s="51">
        <v>5</v>
      </c>
      <c r="AF84" s="51">
        <v>71</v>
      </c>
    </row>
    <row r="85" spans="2:32" x14ac:dyDescent="0.25">
      <c r="B85" s="51" t="s">
        <v>331</v>
      </c>
      <c r="C85" s="51" t="s">
        <v>223</v>
      </c>
      <c r="S85" s="51" t="s">
        <v>292</v>
      </c>
      <c r="T85" s="51" t="s">
        <v>17</v>
      </c>
      <c r="U85" s="51" t="s">
        <v>17</v>
      </c>
      <c r="V85" s="51" t="s">
        <v>158</v>
      </c>
      <c r="W85" s="51">
        <v>1</v>
      </c>
      <c r="X85" s="51" t="s">
        <v>142</v>
      </c>
      <c r="AA85" s="51" t="s">
        <v>407</v>
      </c>
      <c r="AB85" s="51" t="s">
        <v>84</v>
      </c>
      <c r="AC85" s="51" t="s">
        <v>83</v>
      </c>
      <c r="AD85" s="51">
        <v>21</v>
      </c>
      <c r="AE85" s="51">
        <v>5</v>
      </c>
      <c r="AF85" s="51">
        <v>72</v>
      </c>
    </row>
    <row r="86" spans="2:32" x14ac:dyDescent="0.25">
      <c r="B86" s="51" t="s">
        <v>221</v>
      </c>
      <c r="C86" s="51" t="s">
        <v>4</v>
      </c>
      <c r="S86" s="51" t="s">
        <v>292</v>
      </c>
      <c r="T86" s="51" t="s">
        <v>17</v>
      </c>
      <c r="U86" s="51" t="s">
        <v>17</v>
      </c>
      <c r="V86" s="51" t="s">
        <v>159</v>
      </c>
      <c r="W86" s="51">
        <v>1</v>
      </c>
      <c r="X86" s="51" t="s">
        <v>142</v>
      </c>
      <c r="AA86" s="51" t="s">
        <v>541</v>
      </c>
      <c r="AB86" s="51" t="s">
        <v>542</v>
      </c>
      <c r="AC86" s="51" t="s">
        <v>109</v>
      </c>
      <c r="AD86" s="51">
        <v>30</v>
      </c>
      <c r="AE86" s="51">
        <v>6</v>
      </c>
      <c r="AF86" s="51">
        <v>73</v>
      </c>
    </row>
    <row r="87" spans="2:32" x14ac:dyDescent="0.25">
      <c r="B87" s="51" t="s">
        <v>279</v>
      </c>
      <c r="C87" s="51" t="s">
        <v>223</v>
      </c>
      <c r="S87" s="51" t="s">
        <v>292</v>
      </c>
      <c r="T87" s="51" t="s">
        <v>17</v>
      </c>
      <c r="U87" s="51" t="s">
        <v>17</v>
      </c>
      <c r="V87" s="51" t="s">
        <v>160</v>
      </c>
      <c r="W87" s="51">
        <v>1</v>
      </c>
      <c r="X87" s="51" t="s">
        <v>142</v>
      </c>
      <c r="AA87" s="51" t="s">
        <v>544</v>
      </c>
      <c r="AB87" s="51" t="s">
        <v>545</v>
      </c>
      <c r="AC87" s="51" t="s">
        <v>696</v>
      </c>
      <c r="AD87" s="51">
        <v>31</v>
      </c>
      <c r="AE87" s="51">
        <v>2</v>
      </c>
      <c r="AF87" s="51">
        <v>74</v>
      </c>
    </row>
    <row r="88" spans="2:32" x14ac:dyDescent="0.25">
      <c r="B88" s="51" t="s">
        <v>546</v>
      </c>
      <c r="C88" s="51" t="s">
        <v>225</v>
      </c>
      <c r="S88" s="51" t="s">
        <v>293</v>
      </c>
      <c r="T88" s="51" t="s">
        <v>17</v>
      </c>
      <c r="U88" s="51" t="s">
        <v>17</v>
      </c>
      <c r="V88" s="51" t="s">
        <v>157</v>
      </c>
      <c r="W88" s="51">
        <v>1</v>
      </c>
      <c r="X88" s="51" t="s">
        <v>142</v>
      </c>
      <c r="AA88" s="51" t="s">
        <v>645</v>
      </c>
      <c r="AB88" s="51" t="s">
        <v>542</v>
      </c>
      <c r="AC88" s="51" t="s">
        <v>109</v>
      </c>
      <c r="AD88" s="51">
        <v>30</v>
      </c>
      <c r="AE88" s="51">
        <v>6</v>
      </c>
      <c r="AF88" s="51">
        <v>75</v>
      </c>
    </row>
    <row r="89" spans="2:32" x14ac:dyDescent="0.25">
      <c r="B89" s="207" t="s">
        <v>644</v>
      </c>
      <c r="C89" s="51" t="s">
        <v>225</v>
      </c>
      <c r="S89" s="51" t="s">
        <v>293</v>
      </c>
      <c r="T89" s="51" t="s">
        <v>17</v>
      </c>
      <c r="U89" s="51" t="s">
        <v>17</v>
      </c>
      <c r="V89" s="51" t="s">
        <v>162</v>
      </c>
      <c r="W89" s="51">
        <v>1</v>
      </c>
      <c r="X89" s="51" t="s">
        <v>142</v>
      </c>
      <c r="AA89" s="51" t="s">
        <v>649</v>
      </c>
      <c r="AB89" s="51" t="s">
        <v>136</v>
      </c>
      <c r="AC89" s="51" t="s">
        <v>83</v>
      </c>
      <c r="AD89" s="51">
        <v>32</v>
      </c>
      <c r="AE89" s="51">
        <v>5</v>
      </c>
      <c r="AF89" s="51">
        <v>76</v>
      </c>
    </row>
    <row r="90" spans="2:32" x14ac:dyDescent="0.25">
      <c r="B90" s="207" t="s">
        <v>648</v>
      </c>
      <c r="C90" s="51" t="s">
        <v>225</v>
      </c>
      <c r="S90" s="51" t="s">
        <v>293</v>
      </c>
      <c r="T90" s="51" t="s">
        <v>17</v>
      </c>
      <c r="U90" s="51" t="s">
        <v>17</v>
      </c>
      <c r="V90" s="51" t="s">
        <v>158</v>
      </c>
      <c r="W90" s="51">
        <v>1</v>
      </c>
      <c r="X90" s="51" t="s">
        <v>142</v>
      </c>
      <c r="AA90" s="229" t="s">
        <v>650</v>
      </c>
      <c r="AB90" s="229" t="s">
        <v>84</v>
      </c>
      <c r="AC90" s="229" t="s">
        <v>83</v>
      </c>
      <c r="AD90" s="229">
        <v>21</v>
      </c>
      <c r="AE90" s="51">
        <v>5</v>
      </c>
      <c r="AF90" s="229">
        <v>70</v>
      </c>
    </row>
    <row r="91" spans="2:32" x14ac:dyDescent="0.25">
      <c r="B91" s="51" t="s">
        <v>652</v>
      </c>
      <c r="C91" s="51" t="s">
        <v>225</v>
      </c>
      <c r="S91" s="51" t="s">
        <v>293</v>
      </c>
      <c r="T91" s="51" t="s">
        <v>17</v>
      </c>
      <c r="U91" s="51" t="s">
        <v>17</v>
      </c>
      <c r="V91" s="51" t="s">
        <v>159</v>
      </c>
      <c r="W91" s="51">
        <v>1</v>
      </c>
      <c r="X91" s="51" t="s">
        <v>142</v>
      </c>
      <c r="AA91" s="207" t="s">
        <v>654</v>
      </c>
      <c r="AB91" s="51" t="s">
        <v>542</v>
      </c>
      <c r="AC91" s="51" t="s">
        <v>109</v>
      </c>
      <c r="AD91" s="51">
        <v>30</v>
      </c>
      <c r="AE91" s="51">
        <v>6</v>
      </c>
      <c r="AF91" s="51">
        <v>75</v>
      </c>
    </row>
    <row r="92" spans="2:32" x14ac:dyDescent="0.25">
      <c r="B92" s="51" t="s">
        <v>688</v>
      </c>
      <c r="C92" s="51" t="s">
        <v>223</v>
      </c>
      <c r="S92" s="51" t="s">
        <v>293</v>
      </c>
      <c r="T92" s="51" t="s">
        <v>17</v>
      </c>
      <c r="U92" s="51" t="s">
        <v>17</v>
      </c>
      <c r="V92" s="51" t="s">
        <v>160</v>
      </c>
      <c r="W92" s="51">
        <v>1</v>
      </c>
      <c r="X92" s="51" t="s">
        <v>142</v>
      </c>
      <c r="AA92" s="207" t="s">
        <v>656</v>
      </c>
      <c r="AB92" s="51" t="s">
        <v>136</v>
      </c>
      <c r="AC92" s="51" t="s">
        <v>83</v>
      </c>
      <c r="AD92" s="51">
        <v>32</v>
      </c>
      <c r="AE92" s="51">
        <v>5</v>
      </c>
      <c r="AF92" s="51">
        <v>76</v>
      </c>
    </row>
    <row r="93" spans="2:32" x14ac:dyDescent="0.25">
      <c r="B93" s="51" t="s">
        <v>690</v>
      </c>
      <c r="C93" s="51" t="s">
        <v>223</v>
      </c>
      <c r="S93" s="51" t="s">
        <v>299</v>
      </c>
      <c r="T93" s="51" t="s">
        <v>17</v>
      </c>
      <c r="U93" s="51" t="s">
        <v>17</v>
      </c>
      <c r="V93" s="51" t="s">
        <v>158</v>
      </c>
      <c r="W93" s="51">
        <v>1</v>
      </c>
      <c r="X93" s="51" t="s">
        <v>142</v>
      </c>
      <c r="AA93" s="207" t="s">
        <v>663</v>
      </c>
      <c r="AB93" s="51" t="s">
        <v>672</v>
      </c>
      <c r="AC93" s="51" t="s">
        <v>60</v>
      </c>
      <c r="AD93" s="51">
        <v>10</v>
      </c>
      <c r="AE93" s="51">
        <v>3</v>
      </c>
      <c r="AF93" s="51">
        <v>21</v>
      </c>
    </row>
    <row r="94" spans="2:32" x14ac:dyDescent="0.25">
      <c r="B94" s="51" t="s">
        <v>697</v>
      </c>
      <c r="C94" s="51" t="s">
        <v>4</v>
      </c>
      <c r="S94" s="51" t="s">
        <v>299</v>
      </c>
      <c r="T94" s="51" t="s">
        <v>17</v>
      </c>
      <c r="U94" s="51" t="s">
        <v>17</v>
      </c>
      <c r="V94" s="51" t="s">
        <v>160</v>
      </c>
      <c r="W94" s="51">
        <v>1</v>
      </c>
      <c r="X94" s="51" t="s">
        <v>142</v>
      </c>
      <c r="AA94" s="207" t="s">
        <v>666</v>
      </c>
      <c r="AB94" s="51" t="s">
        <v>142</v>
      </c>
      <c r="AC94" s="51" t="s">
        <v>141</v>
      </c>
      <c r="AD94" s="51">
        <v>1</v>
      </c>
      <c r="AE94" s="51">
        <v>1</v>
      </c>
      <c r="AF94" s="51">
        <v>6</v>
      </c>
    </row>
    <row r="95" spans="2:32" x14ac:dyDescent="0.25">
      <c r="S95" s="51" t="s">
        <v>337</v>
      </c>
      <c r="T95" s="51" t="s">
        <v>18</v>
      </c>
      <c r="U95" s="51" t="s">
        <v>18</v>
      </c>
      <c r="V95" s="51" t="s">
        <v>158</v>
      </c>
      <c r="W95" s="51">
        <v>1</v>
      </c>
      <c r="X95" s="51" t="s">
        <v>142</v>
      </c>
      <c r="AA95" s="207" t="s">
        <v>665</v>
      </c>
      <c r="AB95" s="51" t="s">
        <v>61</v>
      </c>
      <c r="AC95" s="51" t="s">
        <v>60</v>
      </c>
      <c r="AD95" s="51">
        <v>20</v>
      </c>
      <c r="AE95" s="51">
        <v>3</v>
      </c>
      <c r="AF95" s="51">
        <v>31</v>
      </c>
    </row>
    <row r="96" spans="2:32" x14ac:dyDescent="0.25">
      <c r="S96" s="51" t="s">
        <v>337</v>
      </c>
      <c r="T96" s="51" t="s">
        <v>18</v>
      </c>
      <c r="U96" s="51" t="s">
        <v>18</v>
      </c>
      <c r="V96" s="51" t="s">
        <v>160</v>
      </c>
      <c r="W96" s="51">
        <v>1</v>
      </c>
      <c r="X96" s="51" t="s">
        <v>142</v>
      </c>
      <c r="AA96" s="207" t="s">
        <v>662</v>
      </c>
      <c r="AB96" s="51" t="s">
        <v>670</v>
      </c>
      <c r="AC96" s="51" t="s">
        <v>60</v>
      </c>
      <c r="AD96" s="51">
        <v>21</v>
      </c>
      <c r="AE96" s="51">
        <v>3</v>
      </c>
      <c r="AF96" s="51">
        <v>32</v>
      </c>
    </row>
    <row r="97" spans="19:32" x14ac:dyDescent="0.25">
      <c r="S97" s="51" t="s">
        <v>338</v>
      </c>
      <c r="T97" s="51" t="s">
        <v>18</v>
      </c>
      <c r="U97" s="51" t="s">
        <v>18</v>
      </c>
      <c r="V97" s="51" t="s">
        <v>158</v>
      </c>
      <c r="W97" s="51">
        <v>1</v>
      </c>
      <c r="X97" s="51" t="s">
        <v>142</v>
      </c>
      <c r="AA97" s="207" t="s">
        <v>671</v>
      </c>
      <c r="AB97" s="51" t="s">
        <v>672</v>
      </c>
      <c r="AC97" s="51" t="s">
        <v>60</v>
      </c>
      <c r="AD97" s="51">
        <v>22</v>
      </c>
      <c r="AE97" s="51">
        <v>3</v>
      </c>
      <c r="AF97" s="51">
        <v>33</v>
      </c>
    </row>
    <row r="98" spans="19:32" x14ac:dyDescent="0.25">
      <c r="S98" s="51" t="s">
        <v>338</v>
      </c>
      <c r="T98" s="51" t="s">
        <v>18</v>
      </c>
      <c r="U98" s="51" t="s">
        <v>18</v>
      </c>
      <c r="V98" s="51" t="s">
        <v>159</v>
      </c>
      <c r="W98" s="51">
        <v>1</v>
      </c>
      <c r="X98" s="51" t="s">
        <v>142</v>
      </c>
      <c r="AA98" s="207" t="s">
        <v>664</v>
      </c>
      <c r="AB98" s="51" t="s">
        <v>668</v>
      </c>
      <c r="AC98" s="51" t="s">
        <v>60</v>
      </c>
      <c r="AD98" s="51">
        <v>23</v>
      </c>
      <c r="AE98" s="51">
        <v>3</v>
      </c>
      <c r="AF98" s="51">
        <v>34</v>
      </c>
    </row>
    <row r="99" spans="19:32" x14ac:dyDescent="0.25">
      <c r="S99" s="51" t="s">
        <v>338</v>
      </c>
      <c r="T99" s="51" t="s">
        <v>18</v>
      </c>
      <c r="U99" s="51" t="s">
        <v>18</v>
      </c>
      <c r="V99" s="51" t="s">
        <v>160</v>
      </c>
      <c r="W99" s="51">
        <v>1</v>
      </c>
      <c r="X99" s="51" t="s">
        <v>142</v>
      </c>
      <c r="AA99" s="207" t="s">
        <v>669</v>
      </c>
      <c r="AB99" s="51" t="s">
        <v>673</v>
      </c>
      <c r="AC99" s="51" t="s">
        <v>60</v>
      </c>
      <c r="AD99" s="51">
        <v>24</v>
      </c>
      <c r="AE99" s="51">
        <v>3</v>
      </c>
      <c r="AF99" s="51">
        <v>35</v>
      </c>
    </row>
    <row r="100" spans="19:32" x14ac:dyDescent="0.25">
      <c r="S100" s="51" t="s">
        <v>286</v>
      </c>
      <c r="T100" s="51" t="s">
        <v>17</v>
      </c>
      <c r="U100" s="51" t="s">
        <v>17</v>
      </c>
      <c r="V100" s="51" t="s">
        <v>158</v>
      </c>
      <c r="W100" s="51">
        <v>1</v>
      </c>
      <c r="X100" s="51" t="s">
        <v>142</v>
      </c>
      <c r="AA100" s="207" t="s">
        <v>686</v>
      </c>
      <c r="AB100" s="51" t="s">
        <v>687</v>
      </c>
      <c r="AC100" s="51" t="s">
        <v>60</v>
      </c>
      <c r="AD100" s="51">
        <v>25</v>
      </c>
      <c r="AE100" s="51">
        <v>3</v>
      </c>
      <c r="AF100" s="51">
        <v>36</v>
      </c>
    </row>
    <row r="101" spans="19:32" x14ac:dyDescent="0.25">
      <c r="S101" s="51" t="s">
        <v>339</v>
      </c>
      <c r="T101" s="51" t="s">
        <v>18</v>
      </c>
      <c r="U101" s="51" t="s">
        <v>18</v>
      </c>
      <c r="V101" s="51" t="s">
        <v>158</v>
      </c>
      <c r="W101" s="51">
        <v>1</v>
      </c>
      <c r="X101" s="51" t="s">
        <v>142</v>
      </c>
      <c r="AA101" s="207" t="s">
        <v>694</v>
      </c>
      <c r="AB101" s="51" t="s">
        <v>142</v>
      </c>
      <c r="AC101" s="51" t="s">
        <v>141</v>
      </c>
      <c r="AD101" s="51">
        <v>1</v>
      </c>
      <c r="AE101" s="51">
        <v>1</v>
      </c>
      <c r="AF101" s="51">
        <v>6</v>
      </c>
    </row>
    <row r="102" spans="19:32" x14ac:dyDescent="0.25">
      <c r="S102" s="51" t="s">
        <v>340</v>
      </c>
      <c r="T102" s="51" t="s">
        <v>18</v>
      </c>
      <c r="U102" s="51" t="s">
        <v>18</v>
      </c>
      <c r="V102" s="51" t="s">
        <v>158</v>
      </c>
      <c r="W102" s="51">
        <v>1</v>
      </c>
      <c r="X102" s="51" t="s">
        <v>142</v>
      </c>
      <c r="AA102" s="207" t="s">
        <v>695</v>
      </c>
      <c r="AB102" s="51" t="s">
        <v>542</v>
      </c>
      <c r="AC102" s="51" t="s">
        <v>109</v>
      </c>
      <c r="AD102" s="51">
        <v>30</v>
      </c>
      <c r="AE102" s="51">
        <v>6</v>
      </c>
      <c r="AF102" s="51">
        <v>73</v>
      </c>
    </row>
    <row r="103" spans="19:32" x14ac:dyDescent="0.25">
      <c r="S103" s="51" t="s">
        <v>340</v>
      </c>
      <c r="T103" s="51" t="s">
        <v>18</v>
      </c>
      <c r="U103" s="51" t="s">
        <v>18</v>
      </c>
      <c r="V103" s="51" t="s">
        <v>159</v>
      </c>
      <c r="W103" s="51">
        <v>1</v>
      </c>
      <c r="X103" s="51" t="s">
        <v>142</v>
      </c>
      <c r="AA103" s="207" t="s">
        <v>698</v>
      </c>
      <c r="AB103" s="51" t="s">
        <v>33</v>
      </c>
      <c r="AC103" s="51" t="s">
        <v>32</v>
      </c>
      <c r="AD103" s="51">
        <v>4</v>
      </c>
      <c r="AE103" s="51">
        <v>2</v>
      </c>
      <c r="AF103" s="51">
        <v>13</v>
      </c>
    </row>
    <row r="104" spans="19:32" x14ac:dyDescent="0.25">
      <c r="S104" s="51" t="s">
        <v>340</v>
      </c>
      <c r="T104" s="51" t="s">
        <v>18</v>
      </c>
      <c r="U104" s="51" t="s">
        <v>18</v>
      </c>
      <c r="V104" s="51" t="s">
        <v>160</v>
      </c>
      <c r="W104" s="51">
        <v>1</v>
      </c>
      <c r="X104" s="51" t="s">
        <v>142</v>
      </c>
      <c r="AA104" s="207" t="s">
        <v>700</v>
      </c>
      <c r="AB104" s="51" t="s">
        <v>542</v>
      </c>
      <c r="AC104" s="51" t="s">
        <v>109</v>
      </c>
      <c r="AD104" s="51">
        <v>30</v>
      </c>
      <c r="AE104" s="51">
        <v>6</v>
      </c>
      <c r="AF104" s="51">
        <v>73</v>
      </c>
    </row>
    <row r="105" spans="19:32" x14ac:dyDescent="0.25">
      <c r="S105" s="51" t="s">
        <v>341</v>
      </c>
      <c r="T105" s="51" t="s">
        <v>18</v>
      </c>
      <c r="U105" s="51" t="s">
        <v>18</v>
      </c>
      <c r="V105" s="51" t="s">
        <v>158</v>
      </c>
      <c r="W105" s="51">
        <v>1</v>
      </c>
      <c r="X105" s="51" t="s">
        <v>142</v>
      </c>
      <c r="AA105" s="207" t="s">
        <v>701</v>
      </c>
      <c r="AB105" s="51" t="s">
        <v>50</v>
      </c>
      <c r="AC105" s="51" t="s">
        <v>32</v>
      </c>
      <c r="AD105" s="51">
        <v>4</v>
      </c>
      <c r="AE105" s="51">
        <v>2</v>
      </c>
      <c r="AF105" s="51">
        <v>13</v>
      </c>
    </row>
    <row r="106" spans="19:32" x14ac:dyDescent="0.25">
      <c r="S106" s="51" t="s">
        <v>342</v>
      </c>
      <c r="T106" s="51" t="s">
        <v>18</v>
      </c>
      <c r="U106" s="51" t="s">
        <v>18</v>
      </c>
      <c r="V106" s="51" t="s">
        <v>162</v>
      </c>
      <c r="W106" s="51">
        <v>1</v>
      </c>
      <c r="X106" s="51" t="s">
        <v>142</v>
      </c>
      <c r="AA106" s="207"/>
    </row>
    <row r="107" spans="19:32" x14ac:dyDescent="0.25">
      <c r="S107" s="51" t="s">
        <v>342</v>
      </c>
      <c r="T107" s="51" t="s">
        <v>18</v>
      </c>
      <c r="U107" s="51" t="s">
        <v>18</v>
      </c>
      <c r="V107" s="51" t="s">
        <v>158</v>
      </c>
      <c r="W107" s="51">
        <v>1</v>
      </c>
      <c r="X107" s="51" t="s">
        <v>142</v>
      </c>
      <c r="AA107" s="207"/>
    </row>
    <row r="108" spans="19:32" x14ac:dyDescent="0.25">
      <c r="S108" s="51" t="s">
        <v>342</v>
      </c>
      <c r="T108" s="51" t="s">
        <v>18</v>
      </c>
      <c r="U108" s="51" t="s">
        <v>18</v>
      </c>
      <c r="V108" s="51" t="s">
        <v>159</v>
      </c>
      <c r="W108" s="51">
        <v>1</v>
      </c>
      <c r="X108" s="51" t="s">
        <v>142</v>
      </c>
      <c r="AA108" s="207"/>
    </row>
    <row r="109" spans="19:32" x14ac:dyDescent="0.25">
      <c r="S109" s="51" t="s">
        <v>342</v>
      </c>
      <c r="T109" s="51" t="s">
        <v>18</v>
      </c>
      <c r="U109" s="51" t="s">
        <v>18</v>
      </c>
      <c r="V109" s="51" t="s">
        <v>160</v>
      </c>
      <c r="W109" s="51">
        <v>1</v>
      </c>
      <c r="X109" s="51" t="s">
        <v>142</v>
      </c>
      <c r="AA109" s="207"/>
    </row>
    <row r="110" spans="19:32" x14ac:dyDescent="0.25">
      <c r="S110" s="51" t="s">
        <v>343</v>
      </c>
      <c r="T110" s="51" t="s">
        <v>18</v>
      </c>
      <c r="U110" s="51" t="s">
        <v>18</v>
      </c>
      <c r="V110" s="51" t="s">
        <v>160</v>
      </c>
      <c r="W110" s="51">
        <v>1</v>
      </c>
      <c r="X110" s="51" t="s">
        <v>142</v>
      </c>
      <c r="AA110" s="207"/>
    </row>
    <row r="111" spans="19:32" x14ac:dyDescent="0.25">
      <c r="S111" s="51" t="s">
        <v>344</v>
      </c>
      <c r="T111" s="51" t="s">
        <v>18</v>
      </c>
      <c r="U111" s="51" t="s">
        <v>18</v>
      </c>
      <c r="V111" s="51" t="s">
        <v>162</v>
      </c>
      <c r="W111" s="51">
        <v>1</v>
      </c>
      <c r="X111" s="51" t="s">
        <v>142</v>
      </c>
      <c r="AA111" s="207"/>
    </row>
    <row r="112" spans="19:32" x14ac:dyDescent="0.25">
      <c r="S112" s="51" t="s">
        <v>344</v>
      </c>
      <c r="T112" s="51" t="s">
        <v>18</v>
      </c>
      <c r="U112" s="51" t="s">
        <v>18</v>
      </c>
      <c r="V112" s="51" t="s">
        <v>158</v>
      </c>
      <c r="W112" s="51">
        <v>1</v>
      </c>
      <c r="X112" s="51" t="s">
        <v>142</v>
      </c>
      <c r="AA112" s="207"/>
    </row>
    <row r="113" spans="19:24" x14ac:dyDescent="0.25">
      <c r="S113" s="51" t="s">
        <v>344</v>
      </c>
      <c r="T113" s="51" t="s">
        <v>18</v>
      </c>
      <c r="U113" s="51" t="s">
        <v>18</v>
      </c>
      <c r="V113" s="51" t="s">
        <v>159</v>
      </c>
      <c r="W113" s="51">
        <v>1</v>
      </c>
      <c r="X113" s="51" t="s">
        <v>142</v>
      </c>
    </row>
    <row r="114" spans="19:24" x14ac:dyDescent="0.25">
      <c r="S114" s="51" t="s">
        <v>344</v>
      </c>
      <c r="T114" s="51" t="s">
        <v>18</v>
      </c>
      <c r="U114" s="51" t="s">
        <v>18</v>
      </c>
      <c r="V114" s="51" t="s">
        <v>160</v>
      </c>
      <c r="W114" s="51">
        <v>1</v>
      </c>
      <c r="X114" s="51" t="s">
        <v>142</v>
      </c>
    </row>
    <row r="115" spans="19:24" x14ac:dyDescent="0.25">
      <c r="S115" s="51" t="s">
        <v>345</v>
      </c>
      <c r="T115" s="51" t="s">
        <v>18</v>
      </c>
      <c r="U115" s="51" t="s">
        <v>18</v>
      </c>
      <c r="V115" s="51" t="s">
        <v>158</v>
      </c>
      <c r="W115" s="51">
        <v>1</v>
      </c>
      <c r="X115" s="51" t="s">
        <v>142</v>
      </c>
    </row>
    <row r="116" spans="19:24" x14ac:dyDescent="0.25">
      <c r="S116" s="51" t="s">
        <v>345</v>
      </c>
      <c r="T116" s="51" t="s">
        <v>18</v>
      </c>
      <c r="U116" s="51" t="s">
        <v>18</v>
      </c>
      <c r="V116" s="51" t="s">
        <v>160</v>
      </c>
      <c r="W116" s="51">
        <v>1</v>
      </c>
      <c r="X116" s="51" t="s">
        <v>142</v>
      </c>
    </row>
    <row r="117" spans="19:24" x14ac:dyDescent="0.25">
      <c r="S117" s="51" t="s">
        <v>346</v>
      </c>
      <c r="T117" s="51" t="s">
        <v>18</v>
      </c>
      <c r="U117" s="51" t="s">
        <v>18</v>
      </c>
      <c r="V117" s="51" t="s">
        <v>162</v>
      </c>
      <c r="W117" s="51">
        <v>1</v>
      </c>
      <c r="X117" s="51" t="s">
        <v>142</v>
      </c>
    </row>
    <row r="118" spans="19:24" x14ac:dyDescent="0.25">
      <c r="S118" s="51" t="s">
        <v>346</v>
      </c>
      <c r="T118" s="51" t="s">
        <v>18</v>
      </c>
      <c r="U118" s="51" t="s">
        <v>18</v>
      </c>
      <c r="V118" s="51" t="s">
        <v>158</v>
      </c>
      <c r="W118" s="51">
        <v>1</v>
      </c>
      <c r="X118" s="51" t="s">
        <v>142</v>
      </c>
    </row>
    <row r="119" spans="19:24" x14ac:dyDescent="0.25">
      <c r="S119" s="51" t="s">
        <v>346</v>
      </c>
      <c r="T119" s="51" t="s">
        <v>18</v>
      </c>
      <c r="U119" s="51" t="s">
        <v>18</v>
      </c>
      <c r="V119" s="51" t="s">
        <v>159</v>
      </c>
      <c r="W119" s="51">
        <v>1</v>
      </c>
      <c r="X119" s="51" t="s">
        <v>142</v>
      </c>
    </row>
    <row r="120" spans="19:24" x14ac:dyDescent="0.25">
      <c r="S120" s="51" t="s">
        <v>346</v>
      </c>
      <c r="T120" s="51" t="s">
        <v>18</v>
      </c>
      <c r="U120" s="51" t="s">
        <v>18</v>
      </c>
      <c r="V120" s="51" t="s">
        <v>160</v>
      </c>
      <c r="W120" s="51">
        <v>1</v>
      </c>
      <c r="X120" s="51" t="s">
        <v>142</v>
      </c>
    </row>
    <row r="121" spans="19:24" x14ac:dyDescent="0.25">
      <c r="S121" s="51" t="s">
        <v>347</v>
      </c>
      <c r="T121" s="51" t="s">
        <v>18</v>
      </c>
      <c r="U121" s="51" t="s">
        <v>18</v>
      </c>
      <c r="V121" s="51" t="s">
        <v>158</v>
      </c>
      <c r="W121" s="51">
        <v>1</v>
      </c>
      <c r="X121" s="51" t="s">
        <v>142</v>
      </c>
    </row>
    <row r="122" spans="19:24" x14ac:dyDescent="0.25">
      <c r="S122" s="51" t="s">
        <v>347</v>
      </c>
      <c r="T122" s="51" t="s">
        <v>18</v>
      </c>
      <c r="U122" s="51" t="s">
        <v>18</v>
      </c>
      <c r="V122" s="51" t="s">
        <v>160</v>
      </c>
      <c r="W122" s="51">
        <v>1</v>
      </c>
      <c r="X122" s="51" t="s">
        <v>142</v>
      </c>
    </row>
    <row r="123" spans="19:24" x14ac:dyDescent="0.25">
      <c r="S123" s="51" t="s">
        <v>348</v>
      </c>
      <c r="T123" s="51" t="s">
        <v>18</v>
      </c>
      <c r="U123" s="51" t="s">
        <v>18</v>
      </c>
      <c r="V123" s="51" t="s">
        <v>158</v>
      </c>
      <c r="W123" s="51">
        <v>1</v>
      </c>
      <c r="X123" s="51" t="s">
        <v>142</v>
      </c>
    </row>
    <row r="124" spans="19:24" x14ac:dyDescent="0.25">
      <c r="S124" s="51" t="s">
        <v>348</v>
      </c>
      <c r="T124" s="51" t="s">
        <v>18</v>
      </c>
      <c r="U124" s="51" t="s">
        <v>18</v>
      </c>
      <c r="V124" s="51" t="s">
        <v>159</v>
      </c>
      <c r="W124" s="51">
        <v>1</v>
      </c>
      <c r="X124" s="51" t="s">
        <v>142</v>
      </c>
    </row>
    <row r="125" spans="19:24" x14ac:dyDescent="0.25">
      <c r="S125" s="51" t="s">
        <v>348</v>
      </c>
      <c r="T125" s="51" t="s">
        <v>18</v>
      </c>
      <c r="U125" s="51" t="s">
        <v>18</v>
      </c>
      <c r="V125" s="51" t="s">
        <v>160</v>
      </c>
      <c r="W125" s="51">
        <v>1</v>
      </c>
      <c r="X125" s="51" t="s">
        <v>142</v>
      </c>
    </row>
    <row r="126" spans="19:24" x14ac:dyDescent="0.25">
      <c r="S126" s="51" t="s">
        <v>349</v>
      </c>
      <c r="T126" s="51" t="s">
        <v>18</v>
      </c>
      <c r="U126" s="51" t="s">
        <v>18</v>
      </c>
      <c r="V126" s="51" t="s">
        <v>158</v>
      </c>
      <c r="W126" s="51">
        <v>1</v>
      </c>
      <c r="X126" s="51" t="s">
        <v>142</v>
      </c>
    </row>
    <row r="127" spans="19:24" x14ac:dyDescent="0.25">
      <c r="S127" s="51" t="s">
        <v>350</v>
      </c>
      <c r="T127" s="51" t="s">
        <v>18</v>
      </c>
      <c r="U127" s="51" t="s">
        <v>18</v>
      </c>
      <c r="V127" s="51" t="s">
        <v>158</v>
      </c>
      <c r="W127" s="51">
        <v>1</v>
      </c>
      <c r="X127" s="51" t="s">
        <v>142</v>
      </c>
    </row>
    <row r="128" spans="19:24" x14ac:dyDescent="0.25">
      <c r="S128" s="51" t="s">
        <v>350</v>
      </c>
      <c r="T128" s="51" t="s">
        <v>18</v>
      </c>
      <c r="U128" s="51" t="s">
        <v>18</v>
      </c>
      <c r="V128" s="51" t="s">
        <v>159</v>
      </c>
      <c r="W128" s="51">
        <v>1</v>
      </c>
      <c r="X128" s="51" t="s">
        <v>142</v>
      </c>
    </row>
    <row r="129" spans="19:24" x14ac:dyDescent="0.25">
      <c r="S129" s="51" t="s">
        <v>350</v>
      </c>
      <c r="T129" s="51" t="s">
        <v>18</v>
      </c>
      <c r="U129" s="51" t="s">
        <v>18</v>
      </c>
      <c r="V129" s="51" t="s">
        <v>160</v>
      </c>
      <c r="W129" s="51">
        <v>1</v>
      </c>
      <c r="X129" s="51" t="s">
        <v>142</v>
      </c>
    </row>
    <row r="130" spans="19:24" x14ac:dyDescent="0.25">
      <c r="S130" s="51" t="s">
        <v>306</v>
      </c>
      <c r="T130" s="51" t="s">
        <v>17</v>
      </c>
      <c r="U130" s="51" t="s">
        <v>17</v>
      </c>
      <c r="V130" s="51" t="s">
        <v>158</v>
      </c>
      <c r="W130" s="51">
        <v>1</v>
      </c>
      <c r="X130" s="51" t="s">
        <v>142</v>
      </c>
    </row>
    <row r="131" spans="19:24" x14ac:dyDescent="0.25">
      <c r="S131" s="51" t="s">
        <v>335</v>
      </c>
      <c r="T131" s="51" t="s">
        <v>18</v>
      </c>
      <c r="U131" s="51" t="s">
        <v>18</v>
      </c>
      <c r="V131" s="51" t="s">
        <v>162</v>
      </c>
      <c r="W131" s="51">
        <v>1</v>
      </c>
      <c r="X131" s="51" t="s">
        <v>142</v>
      </c>
    </row>
    <row r="132" spans="19:24" x14ac:dyDescent="0.25">
      <c r="S132" s="51" t="s">
        <v>335</v>
      </c>
      <c r="T132" s="51" t="s">
        <v>18</v>
      </c>
      <c r="U132" s="51" t="s">
        <v>18</v>
      </c>
      <c r="V132" s="51" t="s">
        <v>159</v>
      </c>
      <c r="W132" s="51">
        <v>1</v>
      </c>
      <c r="X132" s="51" t="s">
        <v>142</v>
      </c>
    </row>
    <row r="133" spans="19:24" x14ac:dyDescent="0.25">
      <c r="S133" s="51" t="s">
        <v>335</v>
      </c>
      <c r="T133" s="51" t="s">
        <v>18</v>
      </c>
      <c r="U133" s="51" t="s">
        <v>18</v>
      </c>
      <c r="V133" s="51" t="s">
        <v>160</v>
      </c>
      <c r="W133" s="51">
        <v>1</v>
      </c>
      <c r="X133" s="51" t="s">
        <v>142</v>
      </c>
    </row>
    <row r="134" spans="19:24" x14ac:dyDescent="0.25">
      <c r="S134" s="51" t="s">
        <v>280</v>
      </c>
      <c r="T134" s="51" t="s">
        <v>17</v>
      </c>
      <c r="U134" s="51" t="s">
        <v>17</v>
      </c>
      <c r="V134" s="51" t="s">
        <v>158</v>
      </c>
      <c r="W134" s="51">
        <v>1</v>
      </c>
      <c r="X134" s="51" t="s">
        <v>142</v>
      </c>
    </row>
    <row r="135" spans="19:24" x14ac:dyDescent="0.25">
      <c r="S135" s="51" t="s">
        <v>351</v>
      </c>
      <c r="T135" s="51" t="s">
        <v>18</v>
      </c>
      <c r="U135" s="51" t="s">
        <v>18</v>
      </c>
      <c r="V135" s="51" t="s">
        <v>162</v>
      </c>
      <c r="W135" s="51">
        <v>1</v>
      </c>
      <c r="X135" s="51" t="s">
        <v>142</v>
      </c>
    </row>
    <row r="136" spans="19:24" x14ac:dyDescent="0.25">
      <c r="S136" s="51" t="s">
        <v>351</v>
      </c>
      <c r="T136" s="51" t="s">
        <v>18</v>
      </c>
      <c r="U136" s="51" t="s">
        <v>18</v>
      </c>
      <c r="V136" s="51" t="s">
        <v>158</v>
      </c>
      <c r="W136" s="51">
        <v>1</v>
      </c>
      <c r="X136" s="51" t="s">
        <v>142</v>
      </c>
    </row>
    <row r="137" spans="19:24" x14ac:dyDescent="0.25">
      <c r="S137" s="51" t="s">
        <v>352</v>
      </c>
      <c r="T137" s="51" t="s">
        <v>18</v>
      </c>
      <c r="U137" s="51" t="s">
        <v>18</v>
      </c>
      <c r="V137" s="51" t="s">
        <v>162</v>
      </c>
      <c r="W137" s="51">
        <v>1</v>
      </c>
      <c r="X137" s="51" t="s">
        <v>142</v>
      </c>
    </row>
    <row r="138" spans="19:24" x14ac:dyDescent="0.25">
      <c r="S138" s="51" t="s">
        <v>352</v>
      </c>
      <c r="T138" s="51" t="s">
        <v>18</v>
      </c>
      <c r="U138" s="51" t="s">
        <v>18</v>
      </c>
      <c r="V138" s="51" t="s">
        <v>158</v>
      </c>
      <c r="W138" s="51">
        <v>1</v>
      </c>
      <c r="X138" s="51" t="s">
        <v>142</v>
      </c>
    </row>
    <row r="139" spans="19:24" x14ac:dyDescent="0.25">
      <c r="S139" s="51" t="s">
        <v>352</v>
      </c>
      <c r="T139" s="51" t="s">
        <v>18</v>
      </c>
      <c r="U139" s="51" t="s">
        <v>18</v>
      </c>
      <c r="V139" s="51" t="s">
        <v>159</v>
      </c>
      <c r="W139" s="51">
        <v>1</v>
      </c>
      <c r="X139" s="51" t="s">
        <v>142</v>
      </c>
    </row>
    <row r="140" spans="19:24" x14ac:dyDescent="0.25">
      <c r="S140" s="51" t="s">
        <v>352</v>
      </c>
      <c r="T140" s="51" t="s">
        <v>18</v>
      </c>
      <c r="U140" s="51" t="s">
        <v>18</v>
      </c>
      <c r="V140" s="51" t="s">
        <v>160</v>
      </c>
      <c r="W140" s="51">
        <v>1</v>
      </c>
      <c r="X140" s="51" t="s">
        <v>142</v>
      </c>
    </row>
    <row r="141" spans="19:24" x14ac:dyDescent="0.25">
      <c r="S141" s="51" t="s">
        <v>401</v>
      </c>
      <c r="T141" s="51" t="s">
        <v>18</v>
      </c>
      <c r="U141" s="51" t="s">
        <v>18</v>
      </c>
      <c r="V141" s="51" t="s">
        <v>158</v>
      </c>
      <c r="W141" s="51">
        <v>1</v>
      </c>
      <c r="X141" s="51" t="s">
        <v>142</v>
      </c>
    </row>
    <row r="142" spans="19:24" x14ac:dyDescent="0.25">
      <c r="S142" s="51" t="s">
        <v>401</v>
      </c>
      <c r="T142" s="51" t="s">
        <v>18</v>
      </c>
      <c r="U142" s="51" t="s">
        <v>18</v>
      </c>
      <c r="V142" s="51" t="s">
        <v>159</v>
      </c>
      <c r="W142" s="51">
        <v>1</v>
      </c>
      <c r="X142" s="51" t="s">
        <v>142</v>
      </c>
    </row>
    <row r="143" spans="19:24" x14ac:dyDescent="0.25">
      <c r="S143" s="51" t="s">
        <v>401</v>
      </c>
      <c r="T143" s="51" t="s">
        <v>18</v>
      </c>
      <c r="U143" s="51" t="s">
        <v>18</v>
      </c>
      <c r="V143" s="51" t="s">
        <v>160</v>
      </c>
      <c r="W143" s="51">
        <v>1</v>
      </c>
      <c r="X143" s="51" t="s">
        <v>142</v>
      </c>
    </row>
    <row r="144" spans="19:24" x14ac:dyDescent="0.25">
      <c r="S144" s="51" t="s">
        <v>307</v>
      </c>
      <c r="T144" s="51" t="s">
        <v>17</v>
      </c>
      <c r="U144" s="51" t="s">
        <v>17</v>
      </c>
      <c r="V144" s="51" t="s">
        <v>158</v>
      </c>
      <c r="W144" s="51">
        <v>1</v>
      </c>
      <c r="X144" s="51" t="s">
        <v>142</v>
      </c>
    </row>
    <row r="145" spans="19:24" x14ac:dyDescent="0.25">
      <c r="S145" s="51" t="s">
        <v>353</v>
      </c>
      <c r="T145" s="51" t="s">
        <v>18</v>
      </c>
      <c r="U145" s="51" t="s">
        <v>18</v>
      </c>
      <c r="V145" s="51" t="s">
        <v>158</v>
      </c>
      <c r="W145" s="51">
        <v>1</v>
      </c>
      <c r="X145" s="51" t="s">
        <v>142</v>
      </c>
    </row>
    <row r="146" spans="19:24" x14ac:dyDescent="0.25">
      <c r="S146" s="51" t="s">
        <v>354</v>
      </c>
      <c r="T146" s="51" t="s">
        <v>18</v>
      </c>
      <c r="U146" s="51" t="s">
        <v>18</v>
      </c>
      <c r="V146" s="51" t="s">
        <v>162</v>
      </c>
      <c r="W146" s="51">
        <v>1</v>
      </c>
      <c r="X146" s="51" t="s">
        <v>142</v>
      </c>
    </row>
    <row r="147" spans="19:24" x14ac:dyDescent="0.25">
      <c r="S147" s="51" t="s">
        <v>354</v>
      </c>
      <c r="T147" s="51" t="s">
        <v>18</v>
      </c>
      <c r="U147" s="51" t="s">
        <v>18</v>
      </c>
      <c r="V147" s="51" t="s">
        <v>158</v>
      </c>
      <c r="W147" s="51">
        <v>1</v>
      </c>
      <c r="X147" s="51" t="s">
        <v>142</v>
      </c>
    </row>
    <row r="148" spans="19:24" x14ac:dyDescent="0.25">
      <c r="S148" s="51" t="s">
        <v>354</v>
      </c>
      <c r="T148" s="51" t="s">
        <v>18</v>
      </c>
      <c r="U148" s="51" t="s">
        <v>18</v>
      </c>
      <c r="V148" s="51" t="s">
        <v>159</v>
      </c>
      <c r="W148" s="51">
        <v>1</v>
      </c>
      <c r="X148" s="51" t="s">
        <v>142</v>
      </c>
    </row>
    <row r="149" spans="19:24" x14ac:dyDescent="0.25">
      <c r="S149" s="51" t="s">
        <v>354</v>
      </c>
      <c r="T149" s="51" t="s">
        <v>18</v>
      </c>
      <c r="U149" s="51" t="s">
        <v>18</v>
      </c>
      <c r="V149" s="51" t="s">
        <v>160</v>
      </c>
      <c r="W149" s="51">
        <v>1</v>
      </c>
      <c r="X149" s="51" t="s">
        <v>142</v>
      </c>
    </row>
    <row r="150" spans="19:24" x14ac:dyDescent="0.25">
      <c r="S150" s="51" t="s">
        <v>355</v>
      </c>
      <c r="T150" s="51" t="s">
        <v>18</v>
      </c>
      <c r="U150" s="51" t="s">
        <v>18</v>
      </c>
      <c r="V150" s="51" t="s">
        <v>158</v>
      </c>
      <c r="W150" s="51">
        <v>1</v>
      </c>
      <c r="X150" s="51" t="s">
        <v>142</v>
      </c>
    </row>
    <row r="151" spans="19:24" x14ac:dyDescent="0.25">
      <c r="S151" s="51" t="s">
        <v>355</v>
      </c>
      <c r="T151" s="51" t="s">
        <v>18</v>
      </c>
      <c r="U151" s="51" t="s">
        <v>18</v>
      </c>
      <c r="V151" s="51" t="s">
        <v>159</v>
      </c>
      <c r="W151" s="51">
        <v>1</v>
      </c>
      <c r="X151" s="51" t="s">
        <v>142</v>
      </c>
    </row>
    <row r="152" spans="19:24" x14ac:dyDescent="0.25">
      <c r="S152" s="51" t="s">
        <v>355</v>
      </c>
      <c r="T152" s="51" t="s">
        <v>18</v>
      </c>
      <c r="U152" s="51" t="s">
        <v>18</v>
      </c>
      <c r="V152" s="51" t="s">
        <v>160</v>
      </c>
      <c r="W152" s="51">
        <v>1</v>
      </c>
      <c r="X152" s="51" t="s">
        <v>142</v>
      </c>
    </row>
    <row r="153" spans="19:24" x14ac:dyDescent="0.25">
      <c r="S153" s="51" t="s">
        <v>288</v>
      </c>
      <c r="T153" s="51" t="s">
        <v>17</v>
      </c>
      <c r="U153" s="51" t="s">
        <v>17</v>
      </c>
      <c r="V153" s="51" t="s">
        <v>158</v>
      </c>
      <c r="W153" s="51">
        <v>1</v>
      </c>
      <c r="X153" s="51" t="s">
        <v>142</v>
      </c>
    </row>
    <row r="154" spans="19:24" x14ac:dyDescent="0.25">
      <c r="S154" s="51" t="s">
        <v>356</v>
      </c>
      <c r="T154" s="51" t="s">
        <v>18</v>
      </c>
      <c r="U154" s="51" t="s">
        <v>18</v>
      </c>
      <c r="V154" s="51" t="s">
        <v>158</v>
      </c>
      <c r="W154" s="51">
        <v>1</v>
      </c>
      <c r="X154" s="51" t="s">
        <v>142</v>
      </c>
    </row>
    <row r="155" spans="19:24" x14ac:dyDescent="0.25">
      <c r="S155" s="51" t="s">
        <v>357</v>
      </c>
      <c r="T155" s="51" t="s">
        <v>18</v>
      </c>
      <c r="U155" s="51" t="s">
        <v>18</v>
      </c>
      <c r="V155" s="51" t="s">
        <v>158</v>
      </c>
      <c r="W155" s="51">
        <v>1</v>
      </c>
      <c r="X155" s="51" t="s">
        <v>142</v>
      </c>
    </row>
    <row r="156" spans="19:24" x14ac:dyDescent="0.25">
      <c r="S156" s="51" t="s">
        <v>357</v>
      </c>
      <c r="T156" s="51" t="s">
        <v>18</v>
      </c>
      <c r="U156" s="51" t="s">
        <v>18</v>
      </c>
      <c r="V156" s="51" t="s">
        <v>159</v>
      </c>
      <c r="W156" s="51">
        <v>1</v>
      </c>
      <c r="X156" s="51" t="s">
        <v>142</v>
      </c>
    </row>
    <row r="157" spans="19:24" x14ac:dyDescent="0.25">
      <c r="S157" s="51" t="s">
        <v>357</v>
      </c>
      <c r="T157" s="51" t="s">
        <v>18</v>
      </c>
      <c r="U157" s="51" t="s">
        <v>18</v>
      </c>
      <c r="V157" s="51" t="s">
        <v>160</v>
      </c>
      <c r="W157" s="51">
        <v>1</v>
      </c>
      <c r="X157" s="51" t="s">
        <v>142</v>
      </c>
    </row>
    <row r="158" spans="19:24" x14ac:dyDescent="0.25">
      <c r="S158" s="51" t="s">
        <v>358</v>
      </c>
      <c r="T158" s="51" t="s">
        <v>18</v>
      </c>
      <c r="U158" s="51" t="s">
        <v>18</v>
      </c>
      <c r="V158" s="51" t="s">
        <v>158</v>
      </c>
      <c r="W158" s="51">
        <v>1</v>
      </c>
      <c r="X158" s="51" t="s">
        <v>142</v>
      </c>
    </row>
    <row r="159" spans="19:24" x14ac:dyDescent="0.25">
      <c r="S159" s="51" t="s">
        <v>358</v>
      </c>
      <c r="T159" s="51" t="s">
        <v>18</v>
      </c>
      <c r="U159" s="51" t="s">
        <v>18</v>
      </c>
      <c r="V159" s="51" t="s">
        <v>160</v>
      </c>
      <c r="W159" s="51">
        <v>1</v>
      </c>
      <c r="X159" s="51" t="s">
        <v>142</v>
      </c>
    </row>
    <row r="160" spans="19:24" x14ac:dyDescent="0.25">
      <c r="S160" s="51" t="s">
        <v>359</v>
      </c>
      <c r="T160" s="51" t="s">
        <v>18</v>
      </c>
      <c r="U160" s="51" t="s">
        <v>18</v>
      </c>
      <c r="V160" s="51" t="s">
        <v>158</v>
      </c>
      <c r="W160" s="51">
        <v>1</v>
      </c>
      <c r="X160" s="51" t="s">
        <v>142</v>
      </c>
    </row>
    <row r="161" spans="19:24" x14ac:dyDescent="0.25">
      <c r="S161" s="51" t="s">
        <v>359</v>
      </c>
      <c r="T161" s="51" t="s">
        <v>18</v>
      </c>
      <c r="U161" s="51" t="s">
        <v>18</v>
      </c>
      <c r="V161" s="51" t="s">
        <v>159</v>
      </c>
      <c r="W161" s="51">
        <v>1</v>
      </c>
      <c r="X161" s="51" t="s">
        <v>142</v>
      </c>
    </row>
    <row r="162" spans="19:24" x14ac:dyDescent="0.25">
      <c r="S162" s="51" t="s">
        <v>359</v>
      </c>
      <c r="T162" s="51" t="s">
        <v>18</v>
      </c>
      <c r="U162" s="51" t="s">
        <v>18</v>
      </c>
      <c r="V162" s="51" t="s">
        <v>160</v>
      </c>
      <c r="W162" s="51">
        <v>1</v>
      </c>
      <c r="X162" s="51" t="s">
        <v>142</v>
      </c>
    </row>
    <row r="163" spans="19:24" x14ac:dyDescent="0.25">
      <c r="S163" s="51" t="s">
        <v>360</v>
      </c>
      <c r="T163" s="51" t="s">
        <v>18</v>
      </c>
      <c r="U163" s="51" t="s">
        <v>18</v>
      </c>
      <c r="V163" s="51" t="s">
        <v>158</v>
      </c>
      <c r="W163" s="51">
        <v>1</v>
      </c>
      <c r="X163" s="51" t="s">
        <v>142</v>
      </c>
    </row>
    <row r="164" spans="19:24" x14ac:dyDescent="0.25">
      <c r="S164" s="51" t="s">
        <v>360</v>
      </c>
      <c r="T164" s="51" t="s">
        <v>18</v>
      </c>
      <c r="U164" s="51" t="s">
        <v>18</v>
      </c>
      <c r="V164" s="51" t="s">
        <v>160</v>
      </c>
      <c r="W164" s="51">
        <v>1</v>
      </c>
      <c r="X164" s="51" t="s">
        <v>142</v>
      </c>
    </row>
    <row r="165" spans="19:24" x14ac:dyDescent="0.25">
      <c r="S165" s="51" t="s">
        <v>361</v>
      </c>
      <c r="T165" s="51" t="s">
        <v>18</v>
      </c>
      <c r="U165" s="51" t="s">
        <v>18</v>
      </c>
      <c r="V165" s="51" t="s">
        <v>158</v>
      </c>
      <c r="W165" s="51">
        <v>1</v>
      </c>
      <c r="X165" s="51" t="s">
        <v>142</v>
      </c>
    </row>
    <row r="166" spans="19:24" x14ac:dyDescent="0.25">
      <c r="S166" s="51" t="s">
        <v>361</v>
      </c>
      <c r="T166" s="51" t="s">
        <v>18</v>
      </c>
      <c r="U166" s="51" t="s">
        <v>18</v>
      </c>
      <c r="V166" s="51" t="s">
        <v>159</v>
      </c>
      <c r="W166" s="51">
        <v>1</v>
      </c>
      <c r="X166" s="51" t="s">
        <v>142</v>
      </c>
    </row>
    <row r="167" spans="19:24" x14ac:dyDescent="0.25">
      <c r="S167" s="51" t="s">
        <v>361</v>
      </c>
      <c r="T167" s="51" t="s">
        <v>18</v>
      </c>
      <c r="U167" s="51" t="s">
        <v>18</v>
      </c>
      <c r="V167" s="51" t="s">
        <v>160</v>
      </c>
      <c r="W167" s="51">
        <v>1</v>
      </c>
      <c r="X167" s="51" t="s">
        <v>142</v>
      </c>
    </row>
    <row r="168" spans="19:24" x14ac:dyDescent="0.25">
      <c r="S168" s="51" t="s">
        <v>305</v>
      </c>
      <c r="T168" s="51" t="s">
        <v>17</v>
      </c>
      <c r="U168" s="51" t="s">
        <v>17</v>
      </c>
      <c r="V168" s="51" t="s">
        <v>158</v>
      </c>
      <c r="W168" s="51">
        <v>1</v>
      </c>
      <c r="X168" s="51" t="s">
        <v>142</v>
      </c>
    </row>
    <row r="169" spans="19:24" x14ac:dyDescent="0.25">
      <c r="S169" s="51" t="s">
        <v>363</v>
      </c>
      <c r="T169" s="51" t="s">
        <v>18</v>
      </c>
      <c r="U169" s="51" t="s">
        <v>18</v>
      </c>
      <c r="V169" s="51" t="s">
        <v>158</v>
      </c>
      <c r="W169" s="51">
        <v>1</v>
      </c>
      <c r="X169" s="51" t="s">
        <v>142</v>
      </c>
    </row>
    <row r="170" spans="19:24" x14ac:dyDescent="0.25">
      <c r="S170" s="51" t="s">
        <v>363</v>
      </c>
      <c r="T170" s="51" t="s">
        <v>18</v>
      </c>
      <c r="U170" s="51" t="s">
        <v>18</v>
      </c>
      <c r="V170" s="51" t="s">
        <v>159</v>
      </c>
      <c r="W170" s="51">
        <v>1</v>
      </c>
      <c r="X170" s="51" t="s">
        <v>142</v>
      </c>
    </row>
    <row r="171" spans="19:24" x14ac:dyDescent="0.25">
      <c r="S171" s="51" t="s">
        <v>363</v>
      </c>
      <c r="T171" s="51" t="s">
        <v>18</v>
      </c>
      <c r="U171" s="51" t="s">
        <v>18</v>
      </c>
      <c r="V171" s="51" t="s">
        <v>160</v>
      </c>
      <c r="W171" s="51">
        <v>1</v>
      </c>
      <c r="X171" s="51" t="s">
        <v>142</v>
      </c>
    </row>
    <row r="172" spans="19:24" x14ac:dyDescent="0.25">
      <c r="S172" s="51" t="s">
        <v>364</v>
      </c>
      <c r="T172" s="51" t="s">
        <v>18</v>
      </c>
      <c r="U172" s="51" t="s">
        <v>18</v>
      </c>
      <c r="V172" s="51" t="s">
        <v>158</v>
      </c>
      <c r="W172" s="51">
        <v>1</v>
      </c>
      <c r="X172" s="51" t="s">
        <v>142</v>
      </c>
    </row>
    <row r="173" spans="19:24" x14ac:dyDescent="0.25">
      <c r="S173" s="51" t="s">
        <v>364</v>
      </c>
      <c r="T173" s="51" t="s">
        <v>18</v>
      </c>
      <c r="U173" s="51" t="s">
        <v>18</v>
      </c>
      <c r="V173" s="51" t="s">
        <v>159</v>
      </c>
      <c r="W173" s="51">
        <v>1</v>
      </c>
      <c r="X173" s="51" t="s">
        <v>142</v>
      </c>
    </row>
    <row r="174" spans="19:24" x14ac:dyDescent="0.25">
      <c r="S174" s="51" t="s">
        <v>364</v>
      </c>
      <c r="T174" s="51" t="s">
        <v>18</v>
      </c>
      <c r="U174" s="51" t="s">
        <v>18</v>
      </c>
      <c r="V174" s="51" t="s">
        <v>160</v>
      </c>
      <c r="W174" s="51">
        <v>1</v>
      </c>
      <c r="X174" s="51" t="s">
        <v>142</v>
      </c>
    </row>
    <row r="175" spans="19:24" x14ac:dyDescent="0.25">
      <c r="S175" s="51" t="s">
        <v>365</v>
      </c>
      <c r="T175" s="51" t="s">
        <v>18</v>
      </c>
      <c r="U175" s="51" t="s">
        <v>18</v>
      </c>
      <c r="V175" s="51" t="s">
        <v>162</v>
      </c>
      <c r="W175" s="51">
        <v>1</v>
      </c>
      <c r="X175" s="51" t="s">
        <v>142</v>
      </c>
    </row>
    <row r="176" spans="19:24" x14ac:dyDescent="0.25">
      <c r="S176" s="51" t="s">
        <v>365</v>
      </c>
      <c r="T176" s="51" t="s">
        <v>18</v>
      </c>
      <c r="U176" s="51" t="s">
        <v>18</v>
      </c>
      <c r="V176" s="51" t="s">
        <v>158</v>
      </c>
      <c r="W176" s="51">
        <v>1</v>
      </c>
      <c r="X176" s="51" t="s">
        <v>142</v>
      </c>
    </row>
    <row r="177" spans="19:24" x14ac:dyDescent="0.25">
      <c r="S177" s="51" t="s">
        <v>365</v>
      </c>
      <c r="T177" s="51" t="s">
        <v>18</v>
      </c>
      <c r="U177" s="51" t="s">
        <v>18</v>
      </c>
      <c r="V177" s="51" t="s">
        <v>159</v>
      </c>
      <c r="W177" s="51">
        <v>1</v>
      </c>
      <c r="X177" s="51" t="s">
        <v>142</v>
      </c>
    </row>
    <row r="178" spans="19:24" x14ac:dyDescent="0.25">
      <c r="S178" s="51" t="s">
        <v>365</v>
      </c>
      <c r="T178" s="51" t="s">
        <v>18</v>
      </c>
      <c r="U178" s="51" t="s">
        <v>18</v>
      </c>
      <c r="V178" s="51" t="s">
        <v>160</v>
      </c>
      <c r="W178" s="51">
        <v>1</v>
      </c>
      <c r="X178" s="51" t="s">
        <v>142</v>
      </c>
    </row>
    <row r="179" spans="19:24" x14ac:dyDescent="0.25">
      <c r="S179" s="51" t="s">
        <v>366</v>
      </c>
      <c r="T179" s="51" t="s">
        <v>18</v>
      </c>
      <c r="U179" s="51" t="s">
        <v>18</v>
      </c>
      <c r="V179" s="51" t="s">
        <v>158</v>
      </c>
      <c r="W179" s="51">
        <v>1</v>
      </c>
      <c r="X179" s="51" t="s">
        <v>142</v>
      </c>
    </row>
    <row r="180" spans="19:24" x14ac:dyDescent="0.25">
      <c r="S180" s="51" t="s">
        <v>366</v>
      </c>
      <c r="T180" s="51" t="s">
        <v>18</v>
      </c>
      <c r="U180" s="51" t="s">
        <v>18</v>
      </c>
      <c r="V180" s="51" t="s">
        <v>159</v>
      </c>
      <c r="W180" s="51">
        <v>1</v>
      </c>
      <c r="X180" s="51" t="s">
        <v>142</v>
      </c>
    </row>
    <row r="181" spans="19:24" x14ac:dyDescent="0.25">
      <c r="S181" s="51" t="s">
        <v>366</v>
      </c>
      <c r="T181" s="51" t="s">
        <v>18</v>
      </c>
      <c r="U181" s="51" t="s">
        <v>18</v>
      </c>
      <c r="V181" s="51" t="s">
        <v>160</v>
      </c>
      <c r="W181" s="51">
        <v>1</v>
      </c>
      <c r="X181" s="51" t="s">
        <v>142</v>
      </c>
    </row>
    <row r="182" spans="19:24" x14ac:dyDescent="0.25">
      <c r="S182" s="51" t="s">
        <v>367</v>
      </c>
      <c r="T182" s="51" t="s">
        <v>18</v>
      </c>
      <c r="U182" s="51" t="s">
        <v>18</v>
      </c>
      <c r="V182" s="51" t="s">
        <v>158</v>
      </c>
      <c r="W182" s="51">
        <v>1</v>
      </c>
      <c r="X182" s="51" t="s">
        <v>142</v>
      </c>
    </row>
    <row r="183" spans="19:24" x14ac:dyDescent="0.25">
      <c r="S183" s="51" t="s">
        <v>367</v>
      </c>
      <c r="T183" s="51" t="s">
        <v>18</v>
      </c>
      <c r="U183" s="51" t="s">
        <v>18</v>
      </c>
      <c r="V183" s="51" t="s">
        <v>159</v>
      </c>
      <c r="W183" s="51">
        <v>1</v>
      </c>
      <c r="X183" s="51" t="s">
        <v>142</v>
      </c>
    </row>
    <row r="184" spans="19:24" x14ac:dyDescent="0.25">
      <c r="S184" s="51" t="s">
        <v>367</v>
      </c>
      <c r="T184" s="51" t="s">
        <v>18</v>
      </c>
      <c r="U184" s="51" t="s">
        <v>18</v>
      </c>
      <c r="V184" s="51" t="s">
        <v>160</v>
      </c>
      <c r="W184" s="51">
        <v>1</v>
      </c>
      <c r="X184" s="51" t="s">
        <v>142</v>
      </c>
    </row>
    <row r="185" spans="19:24" x14ac:dyDescent="0.25">
      <c r="S185" s="51" t="s">
        <v>368</v>
      </c>
      <c r="T185" s="51" t="s">
        <v>18</v>
      </c>
      <c r="U185" s="51" t="s">
        <v>18</v>
      </c>
      <c r="V185" s="51" t="s">
        <v>158</v>
      </c>
      <c r="W185" s="51">
        <v>1</v>
      </c>
      <c r="X185" s="51" t="s">
        <v>142</v>
      </c>
    </row>
    <row r="186" spans="19:24" x14ac:dyDescent="0.25">
      <c r="S186" s="51" t="s">
        <v>368</v>
      </c>
      <c r="T186" s="51" t="s">
        <v>18</v>
      </c>
      <c r="U186" s="51" t="s">
        <v>18</v>
      </c>
      <c r="V186" s="51" t="s">
        <v>159</v>
      </c>
      <c r="W186" s="51">
        <v>1</v>
      </c>
      <c r="X186" s="51" t="s">
        <v>142</v>
      </c>
    </row>
    <row r="187" spans="19:24" x14ac:dyDescent="0.25">
      <c r="S187" s="51" t="s">
        <v>368</v>
      </c>
      <c r="T187" s="51" t="s">
        <v>18</v>
      </c>
      <c r="U187" s="51" t="s">
        <v>18</v>
      </c>
      <c r="V187" s="51" t="s">
        <v>160</v>
      </c>
      <c r="W187" s="51">
        <v>1</v>
      </c>
      <c r="X187" s="51" t="s">
        <v>142</v>
      </c>
    </row>
    <row r="188" spans="19:24" x14ac:dyDescent="0.25">
      <c r="S188" s="51" t="s">
        <v>369</v>
      </c>
      <c r="T188" s="51" t="s">
        <v>18</v>
      </c>
      <c r="U188" s="51" t="s">
        <v>18</v>
      </c>
      <c r="V188" s="51" t="s">
        <v>158</v>
      </c>
      <c r="W188" s="51">
        <v>1</v>
      </c>
      <c r="X188" s="51" t="s">
        <v>142</v>
      </c>
    </row>
    <row r="189" spans="19:24" x14ac:dyDescent="0.25">
      <c r="S189" s="51" t="s">
        <v>369</v>
      </c>
      <c r="T189" s="51" t="s">
        <v>18</v>
      </c>
      <c r="U189" s="51" t="s">
        <v>18</v>
      </c>
      <c r="V189" s="51" t="s">
        <v>160</v>
      </c>
      <c r="W189" s="51">
        <v>1</v>
      </c>
      <c r="X189" s="51" t="s">
        <v>142</v>
      </c>
    </row>
    <row r="190" spans="19:24" x14ac:dyDescent="0.25">
      <c r="S190" s="51" t="s">
        <v>299</v>
      </c>
      <c r="T190" s="51" t="s">
        <v>17</v>
      </c>
      <c r="U190" s="51" t="s">
        <v>17</v>
      </c>
      <c r="V190" s="51" t="s">
        <v>157</v>
      </c>
      <c r="W190" s="51">
        <v>1</v>
      </c>
      <c r="X190" s="51" t="s">
        <v>142</v>
      </c>
    </row>
    <row r="191" spans="19:24" x14ac:dyDescent="0.25">
      <c r="S191" s="51" t="s">
        <v>312</v>
      </c>
      <c r="T191" s="51" t="s">
        <v>17</v>
      </c>
      <c r="U191" s="51" t="s">
        <v>17</v>
      </c>
      <c r="V191" s="51" t="s">
        <v>158</v>
      </c>
      <c r="W191" s="51">
        <v>1</v>
      </c>
      <c r="X191" s="51" t="s">
        <v>142</v>
      </c>
    </row>
    <row r="192" spans="19:24" x14ac:dyDescent="0.25">
      <c r="S192" s="51" t="s">
        <v>370</v>
      </c>
      <c r="T192" s="51" t="s">
        <v>18</v>
      </c>
      <c r="U192" s="51" t="s">
        <v>18</v>
      </c>
      <c r="V192" s="51" t="s">
        <v>158</v>
      </c>
      <c r="W192" s="51">
        <v>1</v>
      </c>
      <c r="X192" s="51" t="s">
        <v>142</v>
      </c>
    </row>
    <row r="193" spans="19:24" x14ac:dyDescent="0.25">
      <c r="S193" s="51" t="s">
        <v>370</v>
      </c>
      <c r="T193" s="51" t="s">
        <v>18</v>
      </c>
      <c r="U193" s="51" t="s">
        <v>18</v>
      </c>
      <c r="V193" s="51" t="s">
        <v>160</v>
      </c>
      <c r="W193" s="51">
        <v>1</v>
      </c>
      <c r="X193" s="51" t="s">
        <v>142</v>
      </c>
    </row>
    <row r="194" spans="19:24" x14ac:dyDescent="0.25">
      <c r="S194" s="51" t="s">
        <v>338</v>
      </c>
      <c r="T194" s="51" t="s">
        <v>18</v>
      </c>
      <c r="U194" s="51" t="s">
        <v>18</v>
      </c>
      <c r="V194" s="51" t="s">
        <v>161</v>
      </c>
      <c r="W194" s="51">
        <v>1</v>
      </c>
      <c r="X194" s="51" t="s">
        <v>142</v>
      </c>
    </row>
    <row r="195" spans="19:24" x14ac:dyDescent="0.25">
      <c r="S195" s="51" t="s">
        <v>338</v>
      </c>
      <c r="T195" s="51" t="s">
        <v>18</v>
      </c>
      <c r="U195" s="51" t="s">
        <v>18</v>
      </c>
      <c r="V195" s="51" t="s">
        <v>162</v>
      </c>
      <c r="W195" s="51">
        <v>1</v>
      </c>
      <c r="X195" s="51" t="s">
        <v>142</v>
      </c>
    </row>
    <row r="196" spans="19:24" x14ac:dyDescent="0.25">
      <c r="S196" s="51" t="s">
        <v>286</v>
      </c>
      <c r="T196" s="51" t="s">
        <v>17</v>
      </c>
      <c r="U196" s="51" t="s">
        <v>17</v>
      </c>
      <c r="V196" s="51" t="s">
        <v>159</v>
      </c>
      <c r="W196" s="51">
        <v>1</v>
      </c>
      <c r="X196" s="51" t="s">
        <v>142</v>
      </c>
    </row>
    <row r="197" spans="19:24" x14ac:dyDescent="0.25">
      <c r="S197" s="51" t="s">
        <v>286</v>
      </c>
      <c r="T197" s="51" t="s">
        <v>17</v>
      </c>
      <c r="U197" s="51" t="s">
        <v>17</v>
      </c>
      <c r="V197" s="51" t="s">
        <v>160</v>
      </c>
      <c r="W197" s="51">
        <v>1</v>
      </c>
      <c r="X197" s="51" t="s">
        <v>142</v>
      </c>
    </row>
    <row r="198" spans="19:24" x14ac:dyDescent="0.25">
      <c r="S198" s="51" t="s">
        <v>340</v>
      </c>
      <c r="T198" s="51" t="s">
        <v>18</v>
      </c>
      <c r="U198" s="51" t="s">
        <v>18</v>
      </c>
      <c r="V198" s="51" t="s">
        <v>161</v>
      </c>
      <c r="W198" s="51">
        <v>1</v>
      </c>
      <c r="X198" s="51" t="s">
        <v>142</v>
      </c>
    </row>
    <row r="199" spans="19:24" x14ac:dyDescent="0.25">
      <c r="S199" s="51" t="s">
        <v>340</v>
      </c>
      <c r="T199" s="51" t="s">
        <v>18</v>
      </c>
      <c r="U199" s="51" t="s">
        <v>18</v>
      </c>
      <c r="V199" s="51" t="s">
        <v>162</v>
      </c>
      <c r="W199" s="51">
        <v>1</v>
      </c>
      <c r="X199" s="51" t="s">
        <v>142</v>
      </c>
    </row>
    <row r="200" spans="19:24" x14ac:dyDescent="0.25">
      <c r="S200" s="51" t="s">
        <v>342</v>
      </c>
      <c r="T200" s="51" t="s">
        <v>18</v>
      </c>
      <c r="U200" s="51" t="s">
        <v>18</v>
      </c>
      <c r="V200" s="51" t="s">
        <v>161</v>
      </c>
      <c r="W200" s="51">
        <v>1</v>
      </c>
      <c r="X200" s="51" t="s">
        <v>142</v>
      </c>
    </row>
    <row r="201" spans="19:24" x14ac:dyDescent="0.25">
      <c r="S201" s="51" t="s">
        <v>344</v>
      </c>
      <c r="T201" s="51" t="s">
        <v>18</v>
      </c>
      <c r="U201" s="51" t="s">
        <v>18</v>
      </c>
      <c r="V201" s="51" t="s">
        <v>161</v>
      </c>
      <c r="W201" s="51">
        <v>1</v>
      </c>
      <c r="X201" s="51" t="s">
        <v>142</v>
      </c>
    </row>
    <row r="202" spans="19:24" x14ac:dyDescent="0.25">
      <c r="S202" s="51" t="s">
        <v>379</v>
      </c>
      <c r="T202" s="51" t="s">
        <v>138</v>
      </c>
      <c r="U202" s="51" t="s">
        <v>16</v>
      </c>
      <c r="V202" s="51" t="s">
        <v>159</v>
      </c>
      <c r="W202" s="51">
        <v>0.72222222222222221</v>
      </c>
      <c r="X202" s="51" t="s">
        <v>142</v>
      </c>
    </row>
    <row r="203" spans="19:24" x14ac:dyDescent="0.25">
      <c r="S203" s="51" t="s">
        <v>346</v>
      </c>
      <c r="T203" s="51" t="s">
        <v>18</v>
      </c>
      <c r="U203" s="51" t="s">
        <v>18</v>
      </c>
      <c r="V203" s="51" t="s">
        <v>161</v>
      </c>
      <c r="W203" s="51">
        <v>1</v>
      </c>
      <c r="X203" s="51" t="s">
        <v>142</v>
      </c>
    </row>
    <row r="204" spans="19:24" x14ac:dyDescent="0.25">
      <c r="S204" s="51" t="s">
        <v>348</v>
      </c>
      <c r="T204" s="51" t="s">
        <v>18</v>
      </c>
      <c r="U204" s="51" t="s">
        <v>18</v>
      </c>
      <c r="V204" s="51" t="s">
        <v>162</v>
      </c>
      <c r="W204" s="51">
        <v>1</v>
      </c>
      <c r="X204" s="51" t="s">
        <v>142</v>
      </c>
    </row>
    <row r="205" spans="19:24" x14ac:dyDescent="0.25">
      <c r="S205" s="51" t="s">
        <v>350</v>
      </c>
      <c r="T205" s="51" t="s">
        <v>18</v>
      </c>
      <c r="U205" s="51" t="s">
        <v>18</v>
      </c>
      <c r="V205" s="51" t="s">
        <v>161</v>
      </c>
      <c r="W205" s="51">
        <v>1</v>
      </c>
      <c r="X205" s="51" t="s">
        <v>142</v>
      </c>
    </row>
    <row r="206" spans="19:24" x14ac:dyDescent="0.25">
      <c r="S206" s="51" t="s">
        <v>306</v>
      </c>
      <c r="T206" s="51" t="s">
        <v>17</v>
      </c>
      <c r="U206" s="51" t="s">
        <v>17</v>
      </c>
      <c r="V206" s="51" t="s">
        <v>157</v>
      </c>
      <c r="W206" s="51">
        <v>1</v>
      </c>
      <c r="X206" s="51" t="s">
        <v>142</v>
      </c>
    </row>
    <row r="207" spans="19:24" x14ac:dyDescent="0.25">
      <c r="S207" s="51" t="s">
        <v>306</v>
      </c>
      <c r="T207" s="51" t="s">
        <v>17</v>
      </c>
      <c r="U207" s="51" t="s">
        <v>17</v>
      </c>
      <c r="V207" s="51" t="s">
        <v>159</v>
      </c>
      <c r="W207" s="51">
        <v>1</v>
      </c>
      <c r="X207" s="51" t="s">
        <v>142</v>
      </c>
    </row>
    <row r="208" spans="19:24" x14ac:dyDescent="0.25">
      <c r="S208" s="51" t="s">
        <v>306</v>
      </c>
      <c r="T208" s="51" t="s">
        <v>17</v>
      </c>
      <c r="U208" s="51" t="s">
        <v>17</v>
      </c>
      <c r="V208" s="51" t="s">
        <v>160</v>
      </c>
      <c r="W208" s="51">
        <v>1</v>
      </c>
      <c r="X208" s="51" t="s">
        <v>142</v>
      </c>
    </row>
    <row r="209" spans="19:24" x14ac:dyDescent="0.25">
      <c r="S209" s="51" t="s">
        <v>335</v>
      </c>
      <c r="T209" s="51" t="s">
        <v>18</v>
      </c>
      <c r="U209" s="51" t="s">
        <v>18</v>
      </c>
      <c r="V209" s="51" t="s">
        <v>161</v>
      </c>
      <c r="W209" s="51">
        <v>1</v>
      </c>
      <c r="X209" s="51" t="s">
        <v>142</v>
      </c>
    </row>
    <row r="210" spans="19:24" x14ac:dyDescent="0.25">
      <c r="S210" s="51" t="s">
        <v>385</v>
      </c>
      <c r="T210" s="51" t="s">
        <v>17</v>
      </c>
      <c r="U210" s="51" t="s">
        <v>17</v>
      </c>
      <c r="V210" s="51" t="s">
        <v>162</v>
      </c>
      <c r="W210" s="51">
        <v>1</v>
      </c>
      <c r="X210" s="51" t="s">
        <v>142</v>
      </c>
    </row>
    <row r="211" spans="19:24" x14ac:dyDescent="0.25">
      <c r="S211" s="51" t="s">
        <v>385</v>
      </c>
      <c r="T211" s="51" t="s">
        <v>17</v>
      </c>
      <c r="U211" s="51" t="s">
        <v>17</v>
      </c>
      <c r="V211" s="51" t="s">
        <v>158</v>
      </c>
      <c r="W211" s="51">
        <v>1</v>
      </c>
      <c r="X211" s="51" t="s">
        <v>142</v>
      </c>
    </row>
    <row r="212" spans="19:24" x14ac:dyDescent="0.25">
      <c r="S212" s="51" t="s">
        <v>385</v>
      </c>
      <c r="T212" s="51" t="s">
        <v>17</v>
      </c>
      <c r="U212" s="51" t="s">
        <v>17</v>
      </c>
      <c r="V212" s="51" t="s">
        <v>159</v>
      </c>
      <c r="W212" s="51">
        <v>1</v>
      </c>
      <c r="X212" s="51" t="s">
        <v>142</v>
      </c>
    </row>
    <row r="213" spans="19:24" x14ac:dyDescent="0.25">
      <c r="S213" s="51" t="s">
        <v>352</v>
      </c>
      <c r="T213" s="51" t="s">
        <v>18</v>
      </c>
      <c r="U213" s="51" t="s">
        <v>18</v>
      </c>
      <c r="V213" s="51" t="s">
        <v>161</v>
      </c>
      <c r="W213" s="51">
        <v>1</v>
      </c>
      <c r="X213" s="51" t="s">
        <v>142</v>
      </c>
    </row>
    <row r="214" spans="19:24" x14ac:dyDescent="0.25">
      <c r="S214" s="51" t="s">
        <v>388</v>
      </c>
      <c r="T214" s="51" t="s">
        <v>17</v>
      </c>
      <c r="U214" s="51" t="s">
        <v>17</v>
      </c>
      <c r="V214" s="51" t="s">
        <v>157</v>
      </c>
      <c r="W214" s="51">
        <v>1</v>
      </c>
      <c r="X214" s="51" t="s">
        <v>142</v>
      </c>
    </row>
    <row r="215" spans="19:24" x14ac:dyDescent="0.25">
      <c r="S215" s="51" t="s">
        <v>388</v>
      </c>
      <c r="T215" s="51" t="s">
        <v>17</v>
      </c>
      <c r="U215" s="51" t="s">
        <v>17</v>
      </c>
      <c r="V215" s="51" t="s">
        <v>158</v>
      </c>
      <c r="W215" s="51">
        <v>1</v>
      </c>
      <c r="X215" s="51" t="s">
        <v>142</v>
      </c>
    </row>
    <row r="216" spans="19:24" x14ac:dyDescent="0.25">
      <c r="S216" s="51" t="s">
        <v>388</v>
      </c>
      <c r="T216" s="51" t="s">
        <v>17</v>
      </c>
      <c r="U216" s="51" t="s">
        <v>17</v>
      </c>
      <c r="V216" s="51" t="s">
        <v>159</v>
      </c>
      <c r="W216" s="51">
        <v>1</v>
      </c>
      <c r="X216" s="51" t="s">
        <v>142</v>
      </c>
    </row>
    <row r="217" spans="19:24" x14ac:dyDescent="0.25">
      <c r="S217" s="51" t="s">
        <v>388</v>
      </c>
      <c r="T217" s="51" t="s">
        <v>17</v>
      </c>
      <c r="U217" s="51" t="s">
        <v>17</v>
      </c>
      <c r="V217" s="51" t="s">
        <v>160</v>
      </c>
      <c r="W217" s="51">
        <v>1</v>
      </c>
      <c r="X217" s="51" t="s">
        <v>142</v>
      </c>
    </row>
    <row r="218" spans="19:24" x14ac:dyDescent="0.25">
      <c r="S218" s="51" t="s">
        <v>301</v>
      </c>
      <c r="T218" s="51" t="s">
        <v>17</v>
      </c>
      <c r="U218" s="51" t="s">
        <v>17</v>
      </c>
      <c r="V218" s="51" t="s">
        <v>162</v>
      </c>
      <c r="W218" s="51">
        <v>1</v>
      </c>
      <c r="X218" s="51" t="s">
        <v>142</v>
      </c>
    </row>
    <row r="219" spans="19:24" x14ac:dyDescent="0.25">
      <c r="S219" s="51" t="s">
        <v>301</v>
      </c>
      <c r="T219" s="51" t="s">
        <v>17</v>
      </c>
      <c r="U219" s="51" t="s">
        <v>17</v>
      </c>
      <c r="V219" s="51" t="s">
        <v>159</v>
      </c>
      <c r="W219" s="51">
        <v>1</v>
      </c>
      <c r="X219" s="51" t="s">
        <v>142</v>
      </c>
    </row>
    <row r="220" spans="19:24" x14ac:dyDescent="0.25">
      <c r="S220" s="51" t="s">
        <v>353</v>
      </c>
      <c r="T220" s="51" t="s">
        <v>18</v>
      </c>
      <c r="U220" s="51" t="s">
        <v>18</v>
      </c>
      <c r="V220" s="51" t="s">
        <v>161</v>
      </c>
      <c r="W220" s="51">
        <v>1</v>
      </c>
      <c r="X220" s="51" t="s">
        <v>142</v>
      </c>
    </row>
    <row r="221" spans="19:24" x14ac:dyDescent="0.25">
      <c r="S221" s="51" t="s">
        <v>353</v>
      </c>
      <c r="T221" s="51" t="s">
        <v>18</v>
      </c>
      <c r="U221" s="51" t="s">
        <v>18</v>
      </c>
      <c r="V221" s="51" t="s">
        <v>160</v>
      </c>
      <c r="W221" s="51">
        <v>1</v>
      </c>
      <c r="X221" s="51" t="s">
        <v>142</v>
      </c>
    </row>
    <row r="222" spans="19:24" x14ac:dyDescent="0.25">
      <c r="S222" s="51" t="s">
        <v>354</v>
      </c>
      <c r="T222" s="51" t="s">
        <v>18</v>
      </c>
      <c r="U222" s="51" t="s">
        <v>18</v>
      </c>
      <c r="V222" s="51" t="s">
        <v>161</v>
      </c>
      <c r="W222" s="51">
        <v>1</v>
      </c>
      <c r="X222" s="51" t="s">
        <v>142</v>
      </c>
    </row>
    <row r="223" spans="19:24" x14ac:dyDescent="0.25">
      <c r="S223" s="51" t="s">
        <v>274</v>
      </c>
      <c r="T223" s="51" t="s">
        <v>138</v>
      </c>
      <c r="U223" s="51" t="s">
        <v>275</v>
      </c>
      <c r="V223" s="51" t="s">
        <v>159</v>
      </c>
      <c r="W223" s="51">
        <v>1</v>
      </c>
      <c r="X223" s="51" t="s">
        <v>142</v>
      </c>
    </row>
    <row r="224" spans="19:24" x14ac:dyDescent="0.25">
      <c r="S224" s="51" t="s">
        <v>393</v>
      </c>
      <c r="T224" s="51" t="s">
        <v>138</v>
      </c>
      <c r="U224" s="51" t="s">
        <v>275</v>
      </c>
      <c r="V224" s="51" t="s">
        <v>161</v>
      </c>
      <c r="W224" s="51">
        <v>1</v>
      </c>
      <c r="X224" s="51" t="s">
        <v>142</v>
      </c>
    </row>
    <row r="225" spans="19:24" x14ac:dyDescent="0.25">
      <c r="S225" s="51" t="s">
        <v>393</v>
      </c>
      <c r="T225" s="51" t="s">
        <v>138</v>
      </c>
      <c r="U225" s="51" t="s">
        <v>275</v>
      </c>
      <c r="V225" s="51" t="s">
        <v>160</v>
      </c>
      <c r="W225" s="51">
        <v>1</v>
      </c>
      <c r="X225" s="51" t="s">
        <v>142</v>
      </c>
    </row>
    <row r="226" spans="19:24" x14ac:dyDescent="0.25">
      <c r="S226" s="51" t="s">
        <v>355</v>
      </c>
      <c r="T226" s="51" t="s">
        <v>18</v>
      </c>
      <c r="U226" s="51" t="s">
        <v>18</v>
      </c>
      <c r="V226" s="51" t="s">
        <v>161</v>
      </c>
      <c r="W226" s="51">
        <v>1</v>
      </c>
      <c r="X226" s="51" t="s">
        <v>142</v>
      </c>
    </row>
    <row r="227" spans="19:24" x14ac:dyDescent="0.25">
      <c r="S227" s="51" t="s">
        <v>355</v>
      </c>
      <c r="T227" s="51" t="s">
        <v>18</v>
      </c>
      <c r="U227" s="51" t="s">
        <v>18</v>
      </c>
      <c r="V227" s="51" t="s">
        <v>162</v>
      </c>
      <c r="W227" s="51">
        <v>1</v>
      </c>
      <c r="X227" s="51" t="s">
        <v>142</v>
      </c>
    </row>
    <row r="228" spans="19:24" x14ac:dyDescent="0.25">
      <c r="S228" s="51" t="s">
        <v>386</v>
      </c>
      <c r="T228" s="51" t="s">
        <v>17</v>
      </c>
      <c r="U228" s="51" t="s">
        <v>17</v>
      </c>
      <c r="V228" s="51" t="s">
        <v>162</v>
      </c>
      <c r="W228" s="51">
        <v>1</v>
      </c>
      <c r="X228" s="51" t="s">
        <v>142</v>
      </c>
    </row>
    <row r="229" spans="19:24" x14ac:dyDescent="0.25">
      <c r="S229" s="51" t="s">
        <v>386</v>
      </c>
      <c r="T229" s="51" t="s">
        <v>17</v>
      </c>
      <c r="U229" s="51" t="s">
        <v>17</v>
      </c>
      <c r="V229" s="51" t="s">
        <v>158</v>
      </c>
      <c r="W229" s="51">
        <v>1</v>
      </c>
      <c r="X229" s="51" t="s">
        <v>142</v>
      </c>
    </row>
    <row r="230" spans="19:24" x14ac:dyDescent="0.25">
      <c r="S230" s="51" t="s">
        <v>386</v>
      </c>
      <c r="T230" s="51" t="s">
        <v>17</v>
      </c>
      <c r="U230" s="51" t="s">
        <v>17</v>
      </c>
      <c r="V230" s="51" t="s">
        <v>159</v>
      </c>
      <c r="W230" s="51">
        <v>1</v>
      </c>
      <c r="X230" s="51" t="s">
        <v>142</v>
      </c>
    </row>
    <row r="231" spans="19:24" x14ac:dyDescent="0.25">
      <c r="S231" s="51" t="s">
        <v>386</v>
      </c>
      <c r="T231" s="51" t="s">
        <v>17</v>
      </c>
      <c r="U231" s="51" t="s">
        <v>17</v>
      </c>
      <c r="V231" s="51" t="s">
        <v>160</v>
      </c>
      <c r="W231" s="51">
        <v>1</v>
      </c>
      <c r="X231" s="51" t="s">
        <v>142</v>
      </c>
    </row>
    <row r="232" spans="19:24" x14ac:dyDescent="0.25">
      <c r="S232" s="51" t="s">
        <v>288</v>
      </c>
      <c r="T232" s="51" t="s">
        <v>17</v>
      </c>
      <c r="U232" s="51" t="s">
        <v>17</v>
      </c>
      <c r="V232" s="51" t="s">
        <v>162</v>
      </c>
      <c r="W232" s="51">
        <v>1</v>
      </c>
      <c r="X232" s="51" t="s">
        <v>142</v>
      </c>
    </row>
    <row r="233" spans="19:24" x14ac:dyDescent="0.25">
      <c r="S233" s="51" t="s">
        <v>288</v>
      </c>
      <c r="T233" s="51" t="s">
        <v>17</v>
      </c>
      <c r="U233" s="51" t="s">
        <v>17</v>
      </c>
      <c r="V233" s="51" t="s">
        <v>160</v>
      </c>
      <c r="W233" s="51">
        <v>1</v>
      </c>
      <c r="X233" s="51" t="s">
        <v>142</v>
      </c>
    </row>
    <row r="234" spans="19:24" x14ac:dyDescent="0.25">
      <c r="S234" s="51" t="s">
        <v>356</v>
      </c>
      <c r="T234" s="51" t="s">
        <v>18</v>
      </c>
      <c r="U234" s="51" t="s">
        <v>18</v>
      </c>
      <c r="V234" s="51" t="s">
        <v>161</v>
      </c>
      <c r="W234" s="51">
        <v>1</v>
      </c>
      <c r="X234" s="51" t="s">
        <v>142</v>
      </c>
    </row>
    <row r="235" spans="19:24" x14ac:dyDescent="0.25">
      <c r="S235" s="51" t="s">
        <v>357</v>
      </c>
      <c r="T235" s="51" t="s">
        <v>18</v>
      </c>
      <c r="U235" s="51" t="s">
        <v>18</v>
      </c>
      <c r="V235" s="51" t="s">
        <v>161</v>
      </c>
      <c r="W235" s="51">
        <v>1</v>
      </c>
      <c r="X235" s="51" t="s">
        <v>142</v>
      </c>
    </row>
    <row r="236" spans="19:24" x14ac:dyDescent="0.25">
      <c r="S236" s="51" t="s">
        <v>357</v>
      </c>
      <c r="T236" s="51" t="s">
        <v>18</v>
      </c>
      <c r="U236" s="51" t="s">
        <v>18</v>
      </c>
      <c r="V236" s="51" t="s">
        <v>162</v>
      </c>
      <c r="W236" s="51">
        <v>1</v>
      </c>
      <c r="X236" s="51" t="s">
        <v>142</v>
      </c>
    </row>
    <row r="237" spans="19:24" x14ac:dyDescent="0.25">
      <c r="S237" s="51" t="s">
        <v>391</v>
      </c>
      <c r="T237" s="51" t="s">
        <v>138</v>
      </c>
      <c r="U237" s="51" t="s">
        <v>16</v>
      </c>
      <c r="V237" s="51" t="s">
        <v>160</v>
      </c>
      <c r="W237" s="51">
        <v>0.7315950679555</v>
      </c>
      <c r="X237" s="51" t="s">
        <v>142</v>
      </c>
    </row>
    <row r="238" spans="19:24" x14ac:dyDescent="0.25">
      <c r="S238" s="51" t="s">
        <v>358</v>
      </c>
      <c r="T238" s="51" t="s">
        <v>18</v>
      </c>
      <c r="U238" s="51" t="s">
        <v>18</v>
      </c>
      <c r="V238" s="51" t="s">
        <v>159</v>
      </c>
      <c r="W238" s="51">
        <v>0.71664829106945971</v>
      </c>
      <c r="X238" s="51" t="s">
        <v>142</v>
      </c>
    </row>
    <row r="239" spans="19:24" x14ac:dyDescent="0.25">
      <c r="S239" s="51" t="s">
        <v>359</v>
      </c>
      <c r="T239" s="51" t="s">
        <v>18</v>
      </c>
      <c r="U239" s="51" t="s">
        <v>18</v>
      </c>
      <c r="V239" s="51" t="s">
        <v>162</v>
      </c>
      <c r="W239" s="51">
        <v>0.71664829106945971</v>
      </c>
      <c r="X239" s="51" t="s">
        <v>142</v>
      </c>
    </row>
    <row r="240" spans="19:24" x14ac:dyDescent="0.25">
      <c r="S240" s="51" t="s">
        <v>273</v>
      </c>
      <c r="T240" s="51" t="s">
        <v>138</v>
      </c>
      <c r="U240" s="51" t="s">
        <v>16</v>
      </c>
      <c r="V240" s="51" t="s">
        <v>161</v>
      </c>
      <c r="W240" s="51">
        <v>0.71664829106945971</v>
      </c>
      <c r="X240" s="51" t="s">
        <v>142</v>
      </c>
    </row>
    <row r="241" spans="19:25" x14ac:dyDescent="0.25">
      <c r="S241" s="51" t="s">
        <v>392</v>
      </c>
      <c r="T241" s="51" t="s">
        <v>138</v>
      </c>
      <c r="U241" s="51" t="s">
        <v>16</v>
      </c>
      <c r="V241" s="51" t="s">
        <v>158</v>
      </c>
      <c r="W241" s="51">
        <v>0.71664829106945971</v>
      </c>
      <c r="X241" s="51" t="s">
        <v>142</v>
      </c>
    </row>
    <row r="242" spans="19:25" x14ac:dyDescent="0.25">
      <c r="S242" s="51" t="s">
        <v>392</v>
      </c>
      <c r="T242" s="51" t="s">
        <v>138</v>
      </c>
      <c r="U242" s="51" t="s">
        <v>16</v>
      </c>
      <c r="V242" s="51" t="s">
        <v>160</v>
      </c>
      <c r="W242" s="51">
        <v>0.77512499999999995</v>
      </c>
      <c r="X242" s="51" t="s">
        <v>142</v>
      </c>
    </row>
    <row r="243" spans="19:25" x14ac:dyDescent="0.25">
      <c r="S243" s="51" t="s">
        <v>318</v>
      </c>
      <c r="T243" s="51" t="s">
        <v>139</v>
      </c>
      <c r="U243" s="51" t="s">
        <v>139</v>
      </c>
      <c r="V243" s="51" t="s">
        <v>159</v>
      </c>
      <c r="W243" s="51">
        <v>1</v>
      </c>
      <c r="X243" s="51" t="s">
        <v>142</v>
      </c>
      <c r="Y243" s="51" t="s">
        <v>452</v>
      </c>
    </row>
    <row r="244" spans="19:25" x14ac:dyDescent="0.25">
      <c r="S244" s="51" t="s">
        <v>361</v>
      </c>
      <c r="T244" s="51" t="s">
        <v>18</v>
      </c>
      <c r="U244" s="51" t="s">
        <v>18</v>
      </c>
      <c r="V244" s="51" t="s">
        <v>161</v>
      </c>
      <c r="W244" s="51">
        <v>1</v>
      </c>
      <c r="X244" s="51" t="s">
        <v>142</v>
      </c>
    </row>
    <row r="245" spans="19:25" x14ac:dyDescent="0.25">
      <c r="S245" s="51" t="s">
        <v>321</v>
      </c>
      <c r="T245" s="51" t="s">
        <v>139</v>
      </c>
      <c r="U245" s="51" t="s">
        <v>140</v>
      </c>
      <c r="V245" s="51" t="s">
        <v>157</v>
      </c>
      <c r="W245" s="51">
        <v>1</v>
      </c>
      <c r="X245" s="51" t="s">
        <v>142</v>
      </c>
    </row>
    <row r="246" spans="19:25" x14ac:dyDescent="0.25">
      <c r="S246" s="51" t="s">
        <v>363</v>
      </c>
      <c r="T246" s="51" t="s">
        <v>18</v>
      </c>
      <c r="U246" s="51" t="s">
        <v>18</v>
      </c>
      <c r="V246" s="51" t="s">
        <v>161</v>
      </c>
      <c r="W246" s="51">
        <v>1</v>
      </c>
      <c r="X246" s="51" t="s">
        <v>142</v>
      </c>
    </row>
    <row r="247" spans="19:25" x14ac:dyDescent="0.25">
      <c r="S247" s="51" t="s">
        <v>363</v>
      </c>
      <c r="T247" s="51" t="s">
        <v>18</v>
      </c>
      <c r="U247" s="51" t="s">
        <v>18</v>
      </c>
      <c r="V247" s="51" t="s">
        <v>162</v>
      </c>
      <c r="W247" s="51">
        <v>1</v>
      </c>
      <c r="X247" s="51" t="s">
        <v>142</v>
      </c>
    </row>
    <row r="248" spans="19:25" x14ac:dyDescent="0.25">
      <c r="S248" s="51" t="s">
        <v>364</v>
      </c>
      <c r="T248" s="51" t="s">
        <v>18</v>
      </c>
      <c r="U248" s="51" t="s">
        <v>18</v>
      </c>
      <c r="V248" s="51" t="s">
        <v>162</v>
      </c>
      <c r="W248" s="51">
        <v>1</v>
      </c>
      <c r="X248" s="51" t="s">
        <v>142</v>
      </c>
    </row>
    <row r="249" spans="19:25" x14ac:dyDescent="0.25">
      <c r="S249" s="51" t="s">
        <v>365</v>
      </c>
      <c r="T249" s="51" t="s">
        <v>18</v>
      </c>
      <c r="U249" s="51" t="s">
        <v>18</v>
      </c>
      <c r="V249" s="51" t="s">
        <v>161</v>
      </c>
      <c r="W249" s="51">
        <v>1</v>
      </c>
      <c r="X249" s="51" t="s">
        <v>142</v>
      </c>
    </row>
    <row r="250" spans="19:25" x14ac:dyDescent="0.25">
      <c r="S250" s="51" t="s">
        <v>366</v>
      </c>
      <c r="T250" s="51" t="s">
        <v>18</v>
      </c>
      <c r="U250" s="51" t="s">
        <v>18</v>
      </c>
      <c r="V250" s="51" t="s">
        <v>161</v>
      </c>
      <c r="W250" s="51">
        <v>1</v>
      </c>
      <c r="X250" s="51" t="s">
        <v>142</v>
      </c>
    </row>
    <row r="251" spans="19:25" x14ac:dyDescent="0.25">
      <c r="S251" s="51" t="s">
        <v>290</v>
      </c>
      <c r="T251" s="51" t="s">
        <v>17</v>
      </c>
      <c r="U251" s="51" t="s">
        <v>17</v>
      </c>
      <c r="V251" s="51" t="s">
        <v>157</v>
      </c>
      <c r="W251" s="51">
        <v>1</v>
      </c>
      <c r="X251" s="51" t="s">
        <v>142</v>
      </c>
    </row>
    <row r="252" spans="19:25" x14ac:dyDescent="0.25">
      <c r="S252" s="51" t="s">
        <v>290</v>
      </c>
      <c r="T252" s="51" t="s">
        <v>17</v>
      </c>
      <c r="U252" s="51" t="s">
        <v>17</v>
      </c>
      <c r="V252" s="51" t="s">
        <v>162</v>
      </c>
      <c r="W252" s="51">
        <v>1</v>
      </c>
      <c r="X252" s="51" t="s">
        <v>142</v>
      </c>
    </row>
    <row r="253" spans="19:25" x14ac:dyDescent="0.25">
      <c r="S253" s="51" t="s">
        <v>290</v>
      </c>
      <c r="T253" s="51" t="s">
        <v>17</v>
      </c>
      <c r="U253" s="51" t="s">
        <v>17</v>
      </c>
      <c r="V253" s="51" t="s">
        <v>159</v>
      </c>
      <c r="W253" s="51">
        <v>1</v>
      </c>
      <c r="X253" s="51" t="s">
        <v>142</v>
      </c>
    </row>
    <row r="254" spans="19:25" x14ac:dyDescent="0.25">
      <c r="S254" s="51" t="s">
        <v>367</v>
      </c>
      <c r="T254" s="51" t="s">
        <v>18</v>
      </c>
      <c r="U254" s="51" t="s">
        <v>18</v>
      </c>
      <c r="V254" s="51" t="s">
        <v>161</v>
      </c>
      <c r="W254" s="51">
        <v>1</v>
      </c>
      <c r="X254" s="51" t="s">
        <v>142</v>
      </c>
    </row>
    <row r="255" spans="19:25" x14ac:dyDescent="0.25">
      <c r="S255" s="51" t="s">
        <v>397</v>
      </c>
      <c r="T255" s="51" t="s">
        <v>18</v>
      </c>
      <c r="U255" s="51" t="s">
        <v>18</v>
      </c>
      <c r="V255" s="51" t="s">
        <v>161</v>
      </c>
      <c r="W255" s="51">
        <v>1</v>
      </c>
      <c r="X255" s="51" t="s">
        <v>142</v>
      </c>
    </row>
    <row r="256" spans="19:25" x14ac:dyDescent="0.25">
      <c r="S256" s="51" t="s">
        <v>397</v>
      </c>
      <c r="T256" s="51" t="s">
        <v>18</v>
      </c>
      <c r="U256" s="51" t="s">
        <v>18</v>
      </c>
      <c r="V256" s="51" t="s">
        <v>159</v>
      </c>
      <c r="W256" s="51">
        <v>1</v>
      </c>
      <c r="X256" s="51" t="s">
        <v>142</v>
      </c>
    </row>
    <row r="257" spans="19:24" x14ac:dyDescent="0.25">
      <c r="S257" s="51" t="s">
        <v>397</v>
      </c>
      <c r="T257" s="51" t="s">
        <v>18</v>
      </c>
      <c r="U257" s="51" t="s">
        <v>18</v>
      </c>
      <c r="V257" s="51" t="s">
        <v>160</v>
      </c>
      <c r="W257" s="51">
        <v>1</v>
      </c>
      <c r="X257" s="51" t="s">
        <v>142</v>
      </c>
    </row>
    <row r="258" spans="19:24" x14ac:dyDescent="0.25">
      <c r="S258" s="51" t="s">
        <v>368</v>
      </c>
      <c r="T258" s="51" t="s">
        <v>18</v>
      </c>
      <c r="U258" s="51" t="s">
        <v>18</v>
      </c>
      <c r="V258" s="51" t="s">
        <v>161</v>
      </c>
      <c r="W258" s="51">
        <v>1</v>
      </c>
      <c r="X258" s="51" t="s">
        <v>142</v>
      </c>
    </row>
    <row r="259" spans="19:24" x14ac:dyDescent="0.25">
      <c r="S259" s="51" t="s">
        <v>387</v>
      </c>
      <c r="T259" s="51" t="s">
        <v>17</v>
      </c>
      <c r="U259" s="51" t="s">
        <v>17</v>
      </c>
      <c r="V259" s="51" t="s">
        <v>162</v>
      </c>
      <c r="W259" s="51">
        <v>1</v>
      </c>
      <c r="X259" s="51" t="s">
        <v>142</v>
      </c>
    </row>
    <row r="260" spans="19:24" x14ac:dyDescent="0.25">
      <c r="S260" s="51" t="s">
        <v>387</v>
      </c>
      <c r="T260" s="51" t="s">
        <v>17</v>
      </c>
      <c r="U260" s="51" t="s">
        <v>17</v>
      </c>
      <c r="V260" s="51" t="s">
        <v>158</v>
      </c>
      <c r="W260" s="51">
        <v>1</v>
      </c>
      <c r="X260" s="51" t="s">
        <v>142</v>
      </c>
    </row>
    <row r="261" spans="19:24" x14ac:dyDescent="0.25">
      <c r="S261" s="51" t="s">
        <v>387</v>
      </c>
      <c r="T261" s="51" t="s">
        <v>17</v>
      </c>
      <c r="U261" s="51" t="s">
        <v>17</v>
      </c>
      <c r="V261" s="51" t="s">
        <v>160</v>
      </c>
      <c r="W261" s="51">
        <v>1</v>
      </c>
      <c r="X261" s="51" t="s">
        <v>142</v>
      </c>
    </row>
    <row r="262" spans="19:24" x14ac:dyDescent="0.25">
      <c r="S262" s="51" t="s">
        <v>369</v>
      </c>
      <c r="T262" s="51" t="s">
        <v>18</v>
      </c>
      <c r="U262" s="51" t="s">
        <v>18</v>
      </c>
      <c r="V262" s="51" t="s">
        <v>162</v>
      </c>
      <c r="W262" s="51">
        <v>1</v>
      </c>
      <c r="X262" s="51" t="s">
        <v>142</v>
      </c>
    </row>
    <row r="263" spans="19:24" x14ac:dyDescent="0.25">
      <c r="S263" s="51" t="s">
        <v>369</v>
      </c>
      <c r="T263" s="51" t="s">
        <v>18</v>
      </c>
      <c r="U263" s="51" t="s">
        <v>18</v>
      </c>
      <c r="V263" s="51" t="s">
        <v>159</v>
      </c>
      <c r="W263" s="51">
        <v>1</v>
      </c>
      <c r="X263" s="51" t="s">
        <v>142</v>
      </c>
    </row>
    <row r="264" spans="19:24" x14ac:dyDescent="0.25">
      <c r="S264" s="51" t="s">
        <v>296</v>
      </c>
      <c r="T264" s="51" t="s">
        <v>139</v>
      </c>
      <c r="U264" s="51" t="s">
        <v>140</v>
      </c>
      <c r="V264" s="51" t="s">
        <v>157</v>
      </c>
      <c r="W264" s="51">
        <v>1</v>
      </c>
      <c r="X264" s="51" t="s">
        <v>142</v>
      </c>
    </row>
    <row r="265" spans="19:24" x14ac:dyDescent="0.25">
      <c r="S265" s="51" t="s">
        <v>389</v>
      </c>
      <c r="T265" s="51" t="s">
        <v>17</v>
      </c>
      <c r="U265" s="51" t="s">
        <v>17</v>
      </c>
      <c r="V265" s="51" t="s">
        <v>158</v>
      </c>
      <c r="W265" s="51">
        <v>1</v>
      </c>
      <c r="X265" s="51" t="s">
        <v>142</v>
      </c>
    </row>
    <row r="266" spans="19:24" x14ac:dyDescent="0.25">
      <c r="S266" s="51" t="s">
        <v>389</v>
      </c>
      <c r="T266" s="51" t="s">
        <v>17</v>
      </c>
      <c r="U266" s="51" t="s">
        <v>17</v>
      </c>
      <c r="V266" s="51" t="s">
        <v>160</v>
      </c>
      <c r="W266" s="51">
        <v>1</v>
      </c>
      <c r="X266" s="51" t="s">
        <v>142</v>
      </c>
    </row>
    <row r="267" spans="19:24" x14ac:dyDescent="0.25">
      <c r="S267" s="207" t="s">
        <v>272</v>
      </c>
      <c r="T267" s="51" t="s">
        <v>18</v>
      </c>
      <c r="U267" s="51" t="s">
        <v>18</v>
      </c>
      <c r="V267" s="207" t="s">
        <v>158</v>
      </c>
      <c r="W267" s="51">
        <v>1</v>
      </c>
      <c r="X267" s="51" t="s">
        <v>142</v>
      </c>
    </row>
    <row r="268" spans="19:24" x14ac:dyDescent="0.25">
      <c r="S268" s="207" t="s">
        <v>299</v>
      </c>
      <c r="T268" s="51" t="s">
        <v>17</v>
      </c>
      <c r="U268" s="51" t="s">
        <v>17</v>
      </c>
      <c r="V268" s="207" t="s">
        <v>159</v>
      </c>
      <c r="W268" s="51">
        <v>1</v>
      </c>
      <c r="X268" s="51" t="s">
        <v>142</v>
      </c>
    </row>
    <row r="269" spans="19:24" x14ac:dyDescent="0.25">
      <c r="S269" s="51" t="s">
        <v>397</v>
      </c>
      <c r="T269" s="51" t="s">
        <v>18</v>
      </c>
      <c r="U269" s="51" t="s">
        <v>18</v>
      </c>
      <c r="V269" s="51" t="s">
        <v>158</v>
      </c>
      <c r="W269" s="51">
        <v>1</v>
      </c>
      <c r="X269" s="51" t="s">
        <v>142</v>
      </c>
    </row>
    <row r="270" spans="19:24" x14ac:dyDescent="0.25">
      <c r="S270" s="51" t="s">
        <v>462</v>
      </c>
      <c r="T270" s="209" t="s">
        <v>138</v>
      </c>
      <c r="U270" s="51" t="s">
        <v>275</v>
      </c>
      <c r="V270" s="209" t="s">
        <v>161</v>
      </c>
      <c r="W270" s="51">
        <v>1</v>
      </c>
      <c r="X270" s="51" t="s">
        <v>142</v>
      </c>
    </row>
    <row r="271" spans="19:24" x14ac:dyDescent="0.25">
      <c r="S271" s="51" t="s">
        <v>193</v>
      </c>
      <c r="T271" s="210" t="s">
        <v>4</v>
      </c>
      <c r="U271" s="210" t="s">
        <v>4</v>
      </c>
      <c r="V271" s="210" t="s">
        <v>161</v>
      </c>
      <c r="W271" s="51">
        <v>1</v>
      </c>
      <c r="X271" s="51" t="s">
        <v>142</v>
      </c>
    </row>
    <row r="272" spans="19:24" x14ac:dyDescent="0.25">
      <c r="S272" s="51" t="s">
        <v>210</v>
      </c>
      <c r="T272" s="51" t="s">
        <v>4</v>
      </c>
      <c r="U272" s="210" t="s">
        <v>4</v>
      </c>
      <c r="V272" s="51" t="s">
        <v>157</v>
      </c>
      <c r="W272" s="51">
        <v>1</v>
      </c>
      <c r="X272" s="51" t="s">
        <v>142</v>
      </c>
    </row>
    <row r="273" spans="19:25" x14ac:dyDescent="0.25">
      <c r="S273" s="51" t="s">
        <v>198</v>
      </c>
      <c r="T273" s="51" t="s">
        <v>4</v>
      </c>
      <c r="U273" s="210" t="s">
        <v>4</v>
      </c>
      <c r="V273" s="51" t="s">
        <v>158</v>
      </c>
      <c r="W273" s="51">
        <v>1</v>
      </c>
      <c r="X273" s="51" t="s">
        <v>142</v>
      </c>
    </row>
    <row r="274" spans="19:25" x14ac:dyDescent="0.25">
      <c r="S274" s="51" t="s">
        <v>463</v>
      </c>
      <c r="T274" s="51" t="s">
        <v>138</v>
      </c>
      <c r="U274" s="51" t="s">
        <v>16</v>
      </c>
      <c r="V274" s="51" t="s">
        <v>158</v>
      </c>
      <c r="W274" s="51">
        <v>0.72222222222222221</v>
      </c>
      <c r="X274" s="51" t="s">
        <v>142</v>
      </c>
    </row>
    <row r="275" spans="19:25" x14ac:dyDescent="0.25">
      <c r="S275" s="51" t="s">
        <v>464</v>
      </c>
      <c r="T275" s="51" t="s">
        <v>138</v>
      </c>
      <c r="U275" s="51" t="s">
        <v>16</v>
      </c>
      <c r="V275" s="51" t="s">
        <v>158</v>
      </c>
      <c r="W275" s="51">
        <v>0.71664829106945971</v>
      </c>
      <c r="X275" s="51" t="s">
        <v>142</v>
      </c>
    </row>
    <row r="276" spans="19:25" x14ac:dyDescent="0.25">
      <c r="S276" s="51" t="s">
        <v>465</v>
      </c>
      <c r="T276" s="51" t="s">
        <v>139</v>
      </c>
      <c r="U276" s="51" t="s">
        <v>139</v>
      </c>
      <c r="V276" s="51" t="s">
        <v>159</v>
      </c>
      <c r="W276" s="51">
        <v>1</v>
      </c>
      <c r="X276" s="51" t="s">
        <v>142</v>
      </c>
      <c r="Y276" s="51" t="s">
        <v>452</v>
      </c>
    </row>
    <row r="277" spans="19:25" x14ac:dyDescent="0.25">
      <c r="S277" s="51" t="s">
        <v>466</v>
      </c>
      <c r="T277" s="51" t="s">
        <v>139</v>
      </c>
      <c r="U277" s="51" t="s">
        <v>139</v>
      </c>
      <c r="V277" s="51" t="s">
        <v>159</v>
      </c>
      <c r="W277" s="51">
        <v>1</v>
      </c>
      <c r="X277" s="51" t="s">
        <v>142</v>
      </c>
      <c r="Y277" s="51" t="s">
        <v>452</v>
      </c>
    </row>
    <row r="278" spans="19:25" x14ac:dyDescent="0.25">
      <c r="S278" s="51" t="s">
        <v>467</v>
      </c>
      <c r="T278" s="51" t="s">
        <v>139</v>
      </c>
      <c r="U278" s="51" t="s">
        <v>139</v>
      </c>
      <c r="V278" s="51" t="s">
        <v>159</v>
      </c>
      <c r="W278" s="51">
        <v>1</v>
      </c>
      <c r="X278" s="51" t="s">
        <v>142</v>
      </c>
      <c r="Y278" s="51" t="s">
        <v>452</v>
      </c>
    </row>
    <row r="279" spans="19:25" x14ac:dyDescent="0.25">
      <c r="S279" s="51" t="s">
        <v>462</v>
      </c>
      <c r="T279" s="51" t="s">
        <v>138</v>
      </c>
      <c r="U279" s="51" t="s">
        <v>275</v>
      </c>
      <c r="V279" s="51" t="s">
        <v>160</v>
      </c>
      <c r="W279" s="51">
        <v>1</v>
      </c>
      <c r="X279" s="51" t="s">
        <v>142</v>
      </c>
    </row>
    <row r="280" spans="19:25" x14ac:dyDescent="0.25">
      <c r="S280" s="51" t="s">
        <v>463</v>
      </c>
      <c r="T280" s="51" t="s">
        <v>138</v>
      </c>
      <c r="U280" s="51" t="s">
        <v>16</v>
      </c>
      <c r="V280" s="51" t="s">
        <v>160</v>
      </c>
      <c r="W280" s="51">
        <v>0.7315950679555</v>
      </c>
      <c r="X280" s="51" t="s">
        <v>142</v>
      </c>
    </row>
    <row r="281" spans="19:25" x14ac:dyDescent="0.25">
      <c r="S281" s="51" t="s">
        <v>464</v>
      </c>
      <c r="T281" s="51" t="s">
        <v>138</v>
      </c>
      <c r="U281" s="51" t="s">
        <v>16</v>
      </c>
      <c r="V281" s="51" t="s">
        <v>160</v>
      </c>
      <c r="W281" s="51">
        <v>0.77512499999999995</v>
      </c>
      <c r="X281" s="51" t="s">
        <v>142</v>
      </c>
    </row>
    <row r="282" spans="19:25" x14ac:dyDescent="0.25">
      <c r="S282" s="51" t="s">
        <v>462</v>
      </c>
      <c r="T282" s="51" t="s">
        <v>138</v>
      </c>
      <c r="U282" s="51" t="s">
        <v>275</v>
      </c>
      <c r="V282" s="51" t="s">
        <v>158</v>
      </c>
      <c r="W282" s="51">
        <v>1</v>
      </c>
      <c r="X282" s="51" t="s">
        <v>142</v>
      </c>
    </row>
    <row r="283" spans="19:25" x14ac:dyDescent="0.25">
      <c r="S283" s="51" t="s">
        <v>237</v>
      </c>
      <c r="T283" s="51" t="s">
        <v>18</v>
      </c>
      <c r="U283" s="51" t="s">
        <v>18</v>
      </c>
      <c r="V283" s="51" t="s">
        <v>468</v>
      </c>
      <c r="W283" s="51">
        <v>1</v>
      </c>
      <c r="X283" s="51" t="s">
        <v>142</v>
      </c>
    </row>
    <row r="284" spans="19:25" x14ac:dyDescent="0.25">
      <c r="S284" s="51" t="s">
        <v>204</v>
      </c>
      <c r="T284" s="51" t="s">
        <v>4</v>
      </c>
      <c r="U284" s="51" t="s">
        <v>4</v>
      </c>
      <c r="V284" s="51" t="s">
        <v>160</v>
      </c>
      <c r="W284" s="51">
        <v>1</v>
      </c>
      <c r="X284" s="51" t="s">
        <v>142</v>
      </c>
    </row>
    <row r="285" spans="19:25" x14ac:dyDescent="0.25">
      <c r="S285" s="51" t="s">
        <v>302</v>
      </c>
      <c r="T285" s="51" t="s">
        <v>227</v>
      </c>
      <c r="U285" s="51" t="s">
        <v>227</v>
      </c>
      <c r="V285" s="51" t="s">
        <v>158</v>
      </c>
      <c r="W285" s="51">
        <v>1</v>
      </c>
      <c r="X285" s="51" t="s">
        <v>142</v>
      </c>
    </row>
    <row r="286" spans="19:25" x14ac:dyDescent="0.25">
      <c r="S286" s="51" t="s">
        <v>324</v>
      </c>
      <c r="T286" s="51" t="s">
        <v>139</v>
      </c>
      <c r="U286" s="51" t="s">
        <v>140</v>
      </c>
      <c r="V286" s="51" t="s">
        <v>157</v>
      </c>
      <c r="W286" s="51">
        <v>1</v>
      </c>
      <c r="X286" s="51" t="s">
        <v>142</v>
      </c>
    </row>
    <row r="287" spans="19:25" x14ac:dyDescent="0.25">
      <c r="S287" s="51" t="s">
        <v>341</v>
      </c>
      <c r="T287" s="51" t="s">
        <v>18</v>
      </c>
      <c r="U287" s="51" t="s">
        <v>18</v>
      </c>
      <c r="V287" s="51" t="s">
        <v>160</v>
      </c>
      <c r="W287" s="51">
        <v>1</v>
      </c>
      <c r="X287" s="51" t="s">
        <v>142</v>
      </c>
    </row>
    <row r="288" spans="19:25" x14ac:dyDescent="0.25">
      <c r="S288" s="51" t="s">
        <v>362</v>
      </c>
      <c r="T288" s="51" t="s">
        <v>18</v>
      </c>
      <c r="U288" s="51" t="s">
        <v>18</v>
      </c>
      <c r="V288" s="51" t="s">
        <v>158</v>
      </c>
      <c r="W288" s="51">
        <v>1</v>
      </c>
      <c r="X288" s="51" t="s">
        <v>142</v>
      </c>
    </row>
    <row r="289" spans="19:24" x14ac:dyDescent="0.25">
      <c r="S289" s="51" t="s">
        <v>375</v>
      </c>
      <c r="T289" s="51" t="s">
        <v>18</v>
      </c>
      <c r="U289" s="51" t="s">
        <v>18</v>
      </c>
      <c r="V289" s="51" t="s">
        <v>160</v>
      </c>
      <c r="W289" s="51">
        <v>1</v>
      </c>
      <c r="X289" s="51" t="s">
        <v>142</v>
      </c>
    </row>
    <row r="290" spans="19:24" x14ac:dyDescent="0.25">
      <c r="S290" s="51" t="s">
        <v>302</v>
      </c>
      <c r="T290" s="51" t="s">
        <v>18</v>
      </c>
      <c r="U290" s="51" t="s">
        <v>18</v>
      </c>
      <c r="V290" s="51" t="s">
        <v>160</v>
      </c>
      <c r="W290" s="51">
        <v>1</v>
      </c>
      <c r="X290" s="51" t="s">
        <v>142</v>
      </c>
    </row>
    <row r="291" spans="19:24" x14ac:dyDescent="0.25">
      <c r="S291" s="51" t="s">
        <v>375</v>
      </c>
      <c r="T291" s="51" t="s">
        <v>18</v>
      </c>
      <c r="U291" s="51" t="s">
        <v>18</v>
      </c>
      <c r="V291" s="51" t="s">
        <v>158</v>
      </c>
      <c r="W291" s="51">
        <v>1</v>
      </c>
      <c r="X291" s="51" t="s">
        <v>142</v>
      </c>
    </row>
    <row r="292" spans="19:24" x14ac:dyDescent="0.25">
      <c r="S292" s="51" t="s">
        <v>388</v>
      </c>
      <c r="T292" s="51" t="s">
        <v>17</v>
      </c>
      <c r="U292" s="51" t="s">
        <v>17</v>
      </c>
      <c r="V292" s="51" t="s">
        <v>162</v>
      </c>
      <c r="W292" s="51">
        <v>1</v>
      </c>
      <c r="X292" s="51" t="s">
        <v>142</v>
      </c>
    </row>
    <row r="293" spans="19:24" x14ac:dyDescent="0.25">
      <c r="S293" s="51" t="s">
        <v>351</v>
      </c>
      <c r="T293" s="51" t="s">
        <v>18</v>
      </c>
      <c r="U293" s="51" t="s">
        <v>18</v>
      </c>
      <c r="V293" s="51" t="s">
        <v>160</v>
      </c>
      <c r="W293" s="51">
        <v>1</v>
      </c>
      <c r="X293" s="51" t="s">
        <v>142</v>
      </c>
    </row>
    <row r="294" spans="19:24" x14ac:dyDescent="0.25">
      <c r="S294" s="51" t="s">
        <v>356</v>
      </c>
      <c r="T294" s="51" t="s">
        <v>18</v>
      </c>
      <c r="U294" s="51" t="s">
        <v>18</v>
      </c>
      <c r="V294" s="51" t="s">
        <v>162</v>
      </c>
      <c r="W294" s="51">
        <v>1</v>
      </c>
      <c r="X294" s="51" t="s">
        <v>142</v>
      </c>
    </row>
    <row r="295" spans="19:24" x14ac:dyDescent="0.25">
      <c r="S295" s="51" t="s">
        <v>364</v>
      </c>
      <c r="T295" s="51" t="s">
        <v>18</v>
      </c>
      <c r="U295" s="51" t="s">
        <v>18</v>
      </c>
      <c r="V295" s="51" t="s">
        <v>161</v>
      </c>
      <c r="W295" s="51">
        <v>1</v>
      </c>
      <c r="X295" s="51" t="s">
        <v>142</v>
      </c>
    </row>
    <row r="296" spans="19:24" x14ac:dyDescent="0.25">
      <c r="S296" s="51" t="s">
        <v>369</v>
      </c>
      <c r="T296" s="51" t="s">
        <v>18</v>
      </c>
      <c r="U296" s="51" t="s">
        <v>18</v>
      </c>
      <c r="V296" s="51" t="s">
        <v>161</v>
      </c>
      <c r="W296" s="51">
        <v>1</v>
      </c>
      <c r="X296" s="51" t="s">
        <v>142</v>
      </c>
    </row>
    <row r="297" spans="19:24" x14ac:dyDescent="0.25">
      <c r="S297" s="51" t="s">
        <v>347</v>
      </c>
      <c r="T297" s="51" t="s">
        <v>18</v>
      </c>
      <c r="U297" s="51" t="s">
        <v>18</v>
      </c>
      <c r="V297" s="51" t="s">
        <v>159</v>
      </c>
      <c r="W297" s="51">
        <v>1</v>
      </c>
      <c r="X297" s="51" t="s">
        <v>142</v>
      </c>
    </row>
    <row r="298" spans="19:24" x14ac:dyDescent="0.25">
      <c r="S298" s="51" t="s">
        <v>385</v>
      </c>
      <c r="T298" s="51" t="s">
        <v>17</v>
      </c>
      <c r="U298" s="51" t="s">
        <v>17</v>
      </c>
      <c r="V298" s="51" t="s">
        <v>157</v>
      </c>
      <c r="W298" s="51">
        <v>1</v>
      </c>
      <c r="X298" s="51" t="s">
        <v>142</v>
      </c>
    </row>
    <row r="299" spans="19:24" x14ac:dyDescent="0.25">
      <c r="S299" s="51" t="s">
        <v>237</v>
      </c>
      <c r="T299" s="51" t="s">
        <v>18</v>
      </c>
      <c r="U299" s="51" t="s">
        <v>18</v>
      </c>
      <c r="V299" s="51" t="s">
        <v>157</v>
      </c>
      <c r="W299" s="51">
        <v>1</v>
      </c>
      <c r="X299" s="51" t="s">
        <v>142</v>
      </c>
    </row>
    <row r="300" spans="19:24" x14ac:dyDescent="0.25">
      <c r="S300" s="51" t="s">
        <v>340</v>
      </c>
      <c r="T300" s="51" t="s">
        <v>18</v>
      </c>
      <c r="U300" s="51" t="s">
        <v>18</v>
      </c>
      <c r="V300" s="51" t="s">
        <v>157</v>
      </c>
      <c r="W300" s="51">
        <v>1</v>
      </c>
      <c r="X300" s="51" t="s">
        <v>142</v>
      </c>
    </row>
    <row r="301" spans="19:24" x14ac:dyDescent="0.25">
      <c r="S301" s="51" t="s">
        <v>347</v>
      </c>
      <c r="T301" s="51" t="s">
        <v>18</v>
      </c>
      <c r="U301" s="51" t="s">
        <v>18</v>
      </c>
      <c r="V301" s="51" t="s">
        <v>161</v>
      </c>
      <c r="W301" s="51">
        <v>1</v>
      </c>
      <c r="X301" s="51" t="s">
        <v>142</v>
      </c>
    </row>
    <row r="302" spans="19:24" x14ac:dyDescent="0.25">
      <c r="S302" s="51" t="s">
        <v>396</v>
      </c>
      <c r="T302" s="51" t="s">
        <v>18</v>
      </c>
      <c r="U302" s="51" t="s">
        <v>18</v>
      </c>
      <c r="V302" s="51" t="s">
        <v>160</v>
      </c>
      <c r="W302" s="51">
        <v>1</v>
      </c>
      <c r="X302" s="51" t="s">
        <v>142</v>
      </c>
    </row>
    <row r="303" spans="19:24" x14ac:dyDescent="0.25">
      <c r="S303" s="51" t="s">
        <v>359</v>
      </c>
      <c r="T303" s="51" t="s">
        <v>18</v>
      </c>
      <c r="U303" s="51" t="s">
        <v>18</v>
      </c>
      <c r="V303" s="51" t="s">
        <v>161</v>
      </c>
      <c r="W303" s="51">
        <v>1</v>
      </c>
      <c r="X303" s="51" t="s">
        <v>142</v>
      </c>
    </row>
    <row r="304" spans="19:24" x14ac:dyDescent="0.25">
      <c r="S304" s="51" t="s">
        <v>335</v>
      </c>
      <c r="T304" s="51" t="s">
        <v>18</v>
      </c>
      <c r="U304" s="51" t="s">
        <v>18</v>
      </c>
      <c r="V304" s="51" t="s">
        <v>157</v>
      </c>
      <c r="W304" s="51">
        <v>1</v>
      </c>
      <c r="X304" s="51" t="s">
        <v>142</v>
      </c>
    </row>
    <row r="305" spans="19:25" x14ac:dyDescent="0.25">
      <c r="S305" s="51" t="s">
        <v>342</v>
      </c>
      <c r="T305" s="51" t="s">
        <v>18</v>
      </c>
      <c r="U305" s="51" t="s">
        <v>18</v>
      </c>
      <c r="V305" s="51" t="s">
        <v>157</v>
      </c>
      <c r="W305" s="51">
        <v>1</v>
      </c>
      <c r="X305" s="51" t="s">
        <v>142</v>
      </c>
    </row>
    <row r="306" spans="19:25" x14ac:dyDescent="0.25">
      <c r="S306" s="51" t="s">
        <v>337</v>
      </c>
      <c r="T306" s="51" t="s">
        <v>18</v>
      </c>
      <c r="U306" s="51" t="s">
        <v>18</v>
      </c>
      <c r="V306" s="51" t="s">
        <v>159</v>
      </c>
      <c r="W306" s="51">
        <v>1</v>
      </c>
      <c r="X306" s="51" t="s">
        <v>142</v>
      </c>
    </row>
    <row r="307" spans="19:25" x14ac:dyDescent="0.25">
      <c r="S307" s="51" t="s">
        <v>353</v>
      </c>
      <c r="T307" s="51" t="s">
        <v>18</v>
      </c>
      <c r="U307" s="51" t="s">
        <v>18</v>
      </c>
      <c r="V307" s="51" t="s">
        <v>159</v>
      </c>
      <c r="W307" s="51">
        <v>1</v>
      </c>
      <c r="X307" s="51" t="s">
        <v>142</v>
      </c>
    </row>
    <row r="308" spans="19:25" x14ac:dyDescent="0.25">
      <c r="S308" s="51" t="s">
        <v>379</v>
      </c>
      <c r="T308" s="51" t="s">
        <v>138</v>
      </c>
      <c r="U308" s="51" t="s">
        <v>16</v>
      </c>
      <c r="V308" s="51" t="s">
        <v>158</v>
      </c>
      <c r="W308" s="51">
        <v>0.72222222222222221</v>
      </c>
      <c r="X308" s="51" t="s">
        <v>142</v>
      </c>
    </row>
    <row r="309" spans="19:25" x14ac:dyDescent="0.25">
      <c r="S309" s="51" t="s">
        <v>380</v>
      </c>
      <c r="T309" s="51" t="s">
        <v>138</v>
      </c>
      <c r="U309" s="51" t="s">
        <v>16</v>
      </c>
      <c r="V309" s="51" t="s">
        <v>158</v>
      </c>
      <c r="W309" s="51">
        <v>0.72222222222222221</v>
      </c>
      <c r="X309" s="51" t="s">
        <v>142</v>
      </c>
    </row>
    <row r="310" spans="19:25" x14ac:dyDescent="0.25">
      <c r="S310" s="51" t="s">
        <v>391</v>
      </c>
      <c r="T310" s="51" t="s">
        <v>138</v>
      </c>
      <c r="U310" s="51" t="s">
        <v>16</v>
      </c>
      <c r="V310" s="51" t="s">
        <v>158</v>
      </c>
      <c r="W310" s="51">
        <v>0.72222222222222221</v>
      </c>
      <c r="X310" s="51" t="s">
        <v>142</v>
      </c>
    </row>
    <row r="311" spans="19:25" x14ac:dyDescent="0.25">
      <c r="S311" s="51" t="s">
        <v>393</v>
      </c>
      <c r="T311" s="51" t="s">
        <v>138</v>
      </c>
      <c r="U311" s="51" t="s">
        <v>16</v>
      </c>
      <c r="V311" s="51" t="s">
        <v>158</v>
      </c>
      <c r="W311" s="51">
        <v>0.72222222222222221</v>
      </c>
      <c r="X311" s="51" t="s">
        <v>142</v>
      </c>
    </row>
    <row r="312" spans="19:25" x14ac:dyDescent="0.25">
      <c r="S312" s="51" t="s">
        <v>379</v>
      </c>
      <c r="T312" s="51" t="s">
        <v>138</v>
      </c>
      <c r="U312" s="51" t="s">
        <v>16</v>
      </c>
      <c r="V312" s="51" t="s">
        <v>160</v>
      </c>
      <c r="W312" s="51">
        <v>0.71664829106945971</v>
      </c>
      <c r="X312" s="51" t="s">
        <v>142</v>
      </c>
    </row>
    <row r="313" spans="19:25" x14ac:dyDescent="0.25">
      <c r="S313" s="51" t="s">
        <v>380</v>
      </c>
      <c r="T313" s="51" t="s">
        <v>138</v>
      </c>
      <c r="U313" s="51" t="s">
        <v>16</v>
      </c>
      <c r="V313" s="51" t="s">
        <v>160</v>
      </c>
      <c r="W313" s="51">
        <v>0.71664829106945971</v>
      </c>
      <c r="X313" s="51" t="s">
        <v>142</v>
      </c>
    </row>
    <row r="314" spans="19:25" x14ac:dyDescent="0.25">
      <c r="S314" s="51" t="s">
        <v>380</v>
      </c>
      <c r="T314" s="51" t="s">
        <v>138</v>
      </c>
      <c r="U314" s="51" t="s">
        <v>16</v>
      </c>
      <c r="V314" s="51" t="s">
        <v>158</v>
      </c>
      <c r="W314" s="51">
        <v>0.72222222222222221</v>
      </c>
      <c r="X314" s="51" t="s">
        <v>142</v>
      </c>
    </row>
    <row r="315" spans="19:25" x14ac:dyDescent="0.25">
      <c r="S315" s="51" t="s">
        <v>408</v>
      </c>
      <c r="T315" s="51" t="s">
        <v>18</v>
      </c>
      <c r="U315" s="51" t="s">
        <v>18</v>
      </c>
      <c r="V315" s="51" t="s">
        <v>161</v>
      </c>
      <c r="W315" s="51">
        <v>1</v>
      </c>
      <c r="X315" s="51" t="s">
        <v>142</v>
      </c>
    </row>
    <row r="316" spans="19:25" x14ac:dyDescent="0.25">
      <c r="S316" s="51" t="s">
        <v>307</v>
      </c>
      <c r="T316" s="51" t="s">
        <v>17</v>
      </c>
      <c r="U316" s="51" t="s">
        <v>17</v>
      </c>
      <c r="V316" s="51" t="s">
        <v>159</v>
      </c>
      <c r="W316" s="51">
        <v>1</v>
      </c>
      <c r="X316" s="51" t="s">
        <v>142</v>
      </c>
    </row>
    <row r="317" spans="19:25" x14ac:dyDescent="0.25">
      <c r="S317" s="51" t="s">
        <v>543</v>
      </c>
      <c r="T317" s="51" t="s">
        <v>4</v>
      </c>
      <c r="U317" s="51" t="s">
        <v>4</v>
      </c>
      <c r="V317" s="51" t="s">
        <v>161</v>
      </c>
      <c r="W317" s="51">
        <v>1</v>
      </c>
      <c r="X317" s="51" t="s">
        <v>142</v>
      </c>
    </row>
    <row r="318" spans="19:25" x14ac:dyDescent="0.25">
      <c r="S318" s="51" t="s">
        <v>405</v>
      </c>
      <c r="T318" s="51" t="s">
        <v>139</v>
      </c>
      <c r="U318" s="210" t="s">
        <v>140</v>
      </c>
      <c r="V318" s="51" t="s">
        <v>158</v>
      </c>
      <c r="W318" s="51">
        <v>1</v>
      </c>
      <c r="X318" s="51" t="s">
        <v>142</v>
      </c>
      <c r="Y318" s="51" t="s">
        <v>452</v>
      </c>
    </row>
    <row r="319" spans="19:25" x14ac:dyDescent="0.25">
      <c r="S319" s="51" t="s">
        <v>193</v>
      </c>
      <c r="T319" s="51" t="s">
        <v>4</v>
      </c>
      <c r="U319" s="51" t="s">
        <v>4</v>
      </c>
      <c r="V319" s="51" t="s">
        <v>157</v>
      </c>
      <c r="W319" s="51">
        <v>1</v>
      </c>
      <c r="X319" s="51" t="s">
        <v>142</v>
      </c>
    </row>
    <row r="320" spans="19:25" x14ac:dyDescent="0.25">
      <c r="S320" s="51" t="s">
        <v>193</v>
      </c>
      <c r="T320" s="51" t="s">
        <v>4</v>
      </c>
      <c r="U320" s="210" t="s">
        <v>4</v>
      </c>
      <c r="V320" s="51" t="s">
        <v>160</v>
      </c>
      <c r="W320" s="51">
        <v>1</v>
      </c>
      <c r="X320" s="51" t="s">
        <v>142</v>
      </c>
    </row>
    <row r="321" spans="19:25" x14ac:dyDescent="0.25">
      <c r="S321" s="51" t="s">
        <v>193</v>
      </c>
      <c r="T321" s="51" t="s">
        <v>4</v>
      </c>
      <c r="U321" s="210" t="s">
        <v>4</v>
      </c>
      <c r="V321" s="51" t="s">
        <v>159</v>
      </c>
      <c r="W321" s="51">
        <v>1</v>
      </c>
      <c r="X321" s="51" t="s">
        <v>142</v>
      </c>
    </row>
    <row r="322" spans="19:25" x14ac:dyDescent="0.25">
      <c r="S322" s="51" t="s">
        <v>193</v>
      </c>
      <c r="T322" s="51" t="s">
        <v>4</v>
      </c>
      <c r="U322" s="210" t="s">
        <v>4</v>
      </c>
      <c r="V322" s="51" t="s">
        <v>158</v>
      </c>
      <c r="W322" s="51">
        <v>1</v>
      </c>
      <c r="X322" s="51" t="s">
        <v>142</v>
      </c>
    </row>
    <row r="323" spans="19:25" x14ac:dyDescent="0.25">
      <c r="S323" s="51" t="s">
        <v>193</v>
      </c>
      <c r="T323" s="51" t="s">
        <v>4</v>
      </c>
      <c r="U323" s="210" t="s">
        <v>4</v>
      </c>
      <c r="V323" s="51" t="s">
        <v>162</v>
      </c>
      <c r="W323" s="51">
        <v>1</v>
      </c>
      <c r="X323" s="51" t="s">
        <v>142</v>
      </c>
    </row>
    <row r="324" spans="19:25" x14ac:dyDescent="0.25">
      <c r="S324" s="51" t="s">
        <v>348</v>
      </c>
      <c r="T324" s="51" t="s">
        <v>18</v>
      </c>
      <c r="U324" s="51" t="s">
        <v>18</v>
      </c>
      <c r="V324" s="51" t="s">
        <v>157</v>
      </c>
      <c r="W324" s="51">
        <v>1</v>
      </c>
      <c r="X324" s="51" t="s">
        <v>142</v>
      </c>
    </row>
    <row r="325" spans="19:25" x14ac:dyDescent="0.25">
      <c r="S325" s="51" t="s">
        <v>339</v>
      </c>
      <c r="T325" s="51" t="s">
        <v>18</v>
      </c>
      <c r="U325" s="51" t="s">
        <v>18</v>
      </c>
      <c r="V325" s="51" t="s">
        <v>159</v>
      </c>
      <c r="W325" s="51">
        <v>1</v>
      </c>
      <c r="X325" s="51" t="s">
        <v>142</v>
      </c>
    </row>
    <row r="326" spans="19:25" x14ac:dyDescent="0.25">
      <c r="S326" s="51" t="s">
        <v>343</v>
      </c>
      <c r="T326" s="51" t="s">
        <v>18</v>
      </c>
      <c r="U326" s="51" t="s">
        <v>18</v>
      </c>
      <c r="V326" s="51" t="s">
        <v>158</v>
      </c>
      <c r="W326" s="51">
        <v>1</v>
      </c>
      <c r="X326" s="51" t="s">
        <v>142</v>
      </c>
    </row>
    <row r="327" spans="19:25" x14ac:dyDescent="0.25">
      <c r="S327" s="51" t="s">
        <v>396</v>
      </c>
      <c r="T327" s="51" t="s">
        <v>18</v>
      </c>
      <c r="U327" s="51" t="s">
        <v>18</v>
      </c>
      <c r="V327" s="51" t="s">
        <v>158</v>
      </c>
      <c r="W327" s="51">
        <v>1</v>
      </c>
      <c r="X327" s="51" t="s">
        <v>142</v>
      </c>
    </row>
    <row r="328" spans="19:25" x14ac:dyDescent="0.25">
      <c r="S328" s="51" t="s">
        <v>646</v>
      </c>
      <c r="T328" s="51" t="s">
        <v>18</v>
      </c>
      <c r="U328" s="51" t="s">
        <v>18</v>
      </c>
      <c r="V328" s="51" t="s">
        <v>158</v>
      </c>
      <c r="W328" s="51">
        <v>1</v>
      </c>
      <c r="X328" s="51" t="s">
        <v>142</v>
      </c>
    </row>
    <row r="329" spans="19:25" x14ac:dyDescent="0.25">
      <c r="S329" s="51" t="s">
        <v>647</v>
      </c>
      <c r="T329" s="51" t="s">
        <v>17</v>
      </c>
      <c r="U329" s="51" t="s">
        <v>17</v>
      </c>
      <c r="V329" s="51" t="s">
        <v>158</v>
      </c>
      <c r="W329" s="51">
        <v>1</v>
      </c>
      <c r="X329" s="51" t="s">
        <v>145</v>
      </c>
    </row>
    <row r="330" spans="19:25" x14ac:dyDescent="0.25">
      <c r="S330" s="51" t="s">
        <v>339</v>
      </c>
      <c r="T330" s="51" t="s">
        <v>18</v>
      </c>
      <c r="U330" s="51" t="s">
        <v>18</v>
      </c>
      <c r="V330" t="s">
        <v>160</v>
      </c>
      <c r="W330" s="51">
        <v>1</v>
      </c>
      <c r="X330" t="s">
        <v>142</v>
      </c>
    </row>
    <row r="331" spans="19:25" x14ac:dyDescent="0.25">
      <c r="S331" s="51" t="s">
        <v>385</v>
      </c>
      <c r="T331" s="51" t="s">
        <v>17</v>
      </c>
      <c r="U331" s="51" t="s">
        <v>17</v>
      </c>
      <c r="V331" s="51" t="s">
        <v>160</v>
      </c>
      <c r="W331" s="51">
        <v>1</v>
      </c>
      <c r="X331" t="s">
        <v>142</v>
      </c>
    </row>
    <row r="332" spans="19:25" x14ac:dyDescent="0.25">
      <c r="S332" s="229" t="s">
        <v>348</v>
      </c>
      <c r="T332" s="229" t="s">
        <v>18</v>
      </c>
      <c r="U332" s="229" t="s">
        <v>18</v>
      </c>
      <c r="V332" s="229" t="s">
        <v>162</v>
      </c>
      <c r="W332" s="229">
        <v>1</v>
      </c>
      <c r="X332" s="230" t="s">
        <v>84</v>
      </c>
      <c r="Y332" s="229"/>
    </row>
    <row r="333" spans="19:25" x14ac:dyDescent="0.25">
      <c r="S333" s="229" t="s">
        <v>651</v>
      </c>
      <c r="T333" s="229" t="s">
        <v>18</v>
      </c>
      <c r="U333" s="229" t="s">
        <v>18</v>
      </c>
      <c r="V333" s="229" t="s">
        <v>158</v>
      </c>
      <c r="W333" s="229">
        <v>1</v>
      </c>
      <c r="X333" s="229" t="s">
        <v>65</v>
      </c>
      <c r="Y333" s="229"/>
    </row>
    <row r="334" spans="19:25" x14ac:dyDescent="0.25">
      <c r="S334" s="229" t="s">
        <v>651</v>
      </c>
      <c r="T334" s="229" t="s">
        <v>18</v>
      </c>
      <c r="U334" s="229" t="s">
        <v>18</v>
      </c>
      <c r="V334" s="229" t="s">
        <v>158</v>
      </c>
      <c r="W334" s="229">
        <v>1</v>
      </c>
      <c r="X334" s="229" t="s">
        <v>33</v>
      </c>
      <c r="Y334" s="229"/>
    </row>
    <row r="335" spans="19:25" x14ac:dyDescent="0.25">
      <c r="S335" s="229" t="s">
        <v>651</v>
      </c>
      <c r="T335" s="229" t="s">
        <v>18</v>
      </c>
      <c r="U335" s="229" t="s">
        <v>18</v>
      </c>
      <c r="V335" s="229" t="s">
        <v>159</v>
      </c>
      <c r="W335" s="229">
        <v>1</v>
      </c>
      <c r="X335" s="229" t="s">
        <v>142</v>
      </c>
    </row>
    <row r="336" spans="19:25" x14ac:dyDescent="0.25">
      <c r="S336" s="229" t="s">
        <v>651</v>
      </c>
      <c r="T336" s="229" t="s">
        <v>18</v>
      </c>
      <c r="U336" s="229" t="s">
        <v>18</v>
      </c>
      <c r="V336" s="229" t="s">
        <v>159</v>
      </c>
      <c r="W336" s="229">
        <v>1</v>
      </c>
      <c r="X336" s="229" t="s">
        <v>33</v>
      </c>
    </row>
    <row r="337" spans="19:25" x14ac:dyDescent="0.25">
      <c r="S337" s="229" t="s">
        <v>651</v>
      </c>
      <c r="T337" s="229" t="s">
        <v>18</v>
      </c>
      <c r="U337" s="229" t="s">
        <v>18</v>
      </c>
      <c r="V337" s="229" t="s">
        <v>160</v>
      </c>
      <c r="W337" s="229">
        <v>1</v>
      </c>
      <c r="X337" s="229" t="s">
        <v>142</v>
      </c>
    </row>
    <row r="338" spans="19:25" x14ac:dyDescent="0.25">
      <c r="S338" s="229" t="s">
        <v>651</v>
      </c>
      <c r="T338" s="229" t="s">
        <v>18</v>
      </c>
      <c r="U338" s="229" t="s">
        <v>18</v>
      </c>
      <c r="V338" s="229" t="s">
        <v>160</v>
      </c>
      <c r="W338" s="229">
        <v>1</v>
      </c>
      <c r="X338" s="229" t="s">
        <v>65</v>
      </c>
      <c r="Y338" s="229"/>
    </row>
    <row r="339" spans="19:25" x14ac:dyDescent="0.25">
      <c r="S339" s="229" t="s">
        <v>302</v>
      </c>
      <c r="T339" s="229" t="s">
        <v>227</v>
      </c>
      <c r="U339" s="229" t="s">
        <v>227</v>
      </c>
      <c r="V339" s="229" t="s">
        <v>159</v>
      </c>
      <c r="W339" s="229">
        <v>1</v>
      </c>
      <c r="X339" s="229" t="s">
        <v>142</v>
      </c>
      <c r="Y339" s="229"/>
    </row>
    <row r="340" spans="19:25" x14ac:dyDescent="0.25">
      <c r="S340" s="51" t="s">
        <v>343</v>
      </c>
      <c r="T340" s="51" t="s">
        <v>18</v>
      </c>
      <c r="U340" s="51" t="s">
        <v>18</v>
      </c>
      <c r="V340" s="51" t="s">
        <v>159</v>
      </c>
      <c r="W340" s="51">
        <v>1</v>
      </c>
      <c r="X340" s="51" t="s">
        <v>142</v>
      </c>
    </row>
    <row r="341" spans="19:25" x14ac:dyDescent="0.25">
      <c r="S341" s="51" t="s">
        <v>321</v>
      </c>
      <c r="T341" s="51" t="s">
        <v>139</v>
      </c>
      <c r="U341" s="51" t="s">
        <v>140</v>
      </c>
      <c r="V341" s="51" t="s">
        <v>160</v>
      </c>
      <c r="W341" s="51">
        <v>1</v>
      </c>
      <c r="X341" s="51" t="s">
        <v>142</v>
      </c>
    </row>
    <row r="342" spans="19:25" x14ac:dyDescent="0.25">
      <c r="S342" s="51" t="s">
        <v>653</v>
      </c>
      <c r="T342" s="51" t="s">
        <v>139</v>
      </c>
      <c r="U342" s="51" t="s">
        <v>139</v>
      </c>
      <c r="V342" s="51" t="s">
        <v>158</v>
      </c>
      <c r="W342" s="51">
        <v>1</v>
      </c>
      <c r="X342" s="51" t="s">
        <v>50</v>
      </c>
    </row>
    <row r="343" spans="19:25" x14ac:dyDescent="0.25">
      <c r="S343" s="51" t="s">
        <v>655</v>
      </c>
      <c r="T343" s="51" t="s">
        <v>17</v>
      </c>
      <c r="U343" s="51" t="s">
        <v>17</v>
      </c>
      <c r="V343" s="51" t="s">
        <v>158</v>
      </c>
      <c r="W343" s="51">
        <v>1</v>
      </c>
      <c r="X343" s="51" t="s">
        <v>126</v>
      </c>
    </row>
    <row r="344" spans="19:25" x14ac:dyDescent="0.25">
      <c r="S344" s="51" t="s">
        <v>655</v>
      </c>
      <c r="T344" s="51" t="s">
        <v>17</v>
      </c>
      <c r="U344" s="51" t="s">
        <v>17</v>
      </c>
      <c r="V344" s="51" t="s">
        <v>158</v>
      </c>
      <c r="W344" s="51">
        <v>1</v>
      </c>
      <c r="X344" s="51" t="s">
        <v>117</v>
      </c>
    </row>
    <row r="345" spans="19:25" x14ac:dyDescent="0.25">
      <c r="S345" s="51" t="s">
        <v>290</v>
      </c>
      <c r="T345" s="51" t="s">
        <v>17</v>
      </c>
      <c r="U345" s="51" t="s">
        <v>17</v>
      </c>
      <c r="V345" s="51" t="s">
        <v>161</v>
      </c>
      <c r="W345" s="51">
        <v>1</v>
      </c>
      <c r="X345" s="51" t="s">
        <v>142</v>
      </c>
    </row>
    <row r="346" spans="19:25" x14ac:dyDescent="0.25">
      <c r="S346" s="51" t="s">
        <v>239</v>
      </c>
      <c r="T346" s="51" t="s">
        <v>17</v>
      </c>
      <c r="U346" s="51" t="s">
        <v>17</v>
      </c>
      <c r="V346" s="51" t="s">
        <v>161</v>
      </c>
      <c r="W346" s="51">
        <v>1</v>
      </c>
      <c r="X346" s="51" t="s">
        <v>142</v>
      </c>
    </row>
    <row r="347" spans="19:25" x14ac:dyDescent="0.25">
      <c r="S347" s="51" t="s">
        <v>301</v>
      </c>
      <c r="T347" s="51" t="s">
        <v>17</v>
      </c>
      <c r="U347" s="51" t="s">
        <v>17</v>
      </c>
      <c r="V347" s="51" t="s">
        <v>161</v>
      </c>
      <c r="W347" s="51">
        <v>1</v>
      </c>
      <c r="X347" s="51" t="s">
        <v>142</v>
      </c>
    </row>
    <row r="348" spans="19:25" x14ac:dyDescent="0.25">
      <c r="S348" s="51" t="s">
        <v>348</v>
      </c>
      <c r="T348" s="51" t="s">
        <v>18</v>
      </c>
      <c r="U348" s="51" t="s">
        <v>18</v>
      </c>
      <c r="V348" s="51" t="s">
        <v>158</v>
      </c>
      <c r="W348" s="51">
        <v>1</v>
      </c>
      <c r="X348" s="230" t="s">
        <v>84</v>
      </c>
    </row>
    <row r="349" spans="19:25" x14ac:dyDescent="0.25">
      <c r="S349" s="51" t="s">
        <v>274</v>
      </c>
      <c r="T349" s="51" t="s">
        <v>138</v>
      </c>
      <c r="U349" s="51" t="s">
        <v>275</v>
      </c>
      <c r="V349" s="51" t="s">
        <v>158</v>
      </c>
      <c r="W349" s="51">
        <v>1</v>
      </c>
      <c r="X349" s="27" t="s">
        <v>32</v>
      </c>
    </row>
    <row r="350" spans="19:25" x14ac:dyDescent="0.25">
      <c r="S350" s="51" t="s">
        <v>348</v>
      </c>
      <c r="T350" s="51" t="s">
        <v>18</v>
      </c>
      <c r="U350" s="51" t="s">
        <v>18</v>
      </c>
      <c r="V350" s="51" t="s">
        <v>161</v>
      </c>
      <c r="W350" s="51">
        <v>1</v>
      </c>
      <c r="X350" s="51" t="s">
        <v>142</v>
      </c>
    </row>
    <row r="351" spans="19:25" x14ac:dyDescent="0.25">
      <c r="S351" s="51" t="s">
        <v>300</v>
      </c>
      <c r="T351" s="51" t="s">
        <v>17</v>
      </c>
      <c r="U351" s="51" t="s">
        <v>17</v>
      </c>
      <c r="V351" s="51" t="s">
        <v>161</v>
      </c>
      <c r="W351" s="51">
        <v>1</v>
      </c>
      <c r="X351" s="51" t="s">
        <v>142</v>
      </c>
    </row>
    <row r="352" spans="19:25" x14ac:dyDescent="0.25">
      <c r="S352" s="51" t="s">
        <v>293</v>
      </c>
      <c r="T352" s="51" t="s">
        <v>17</v>
      </c>
      <c r="U352" s="51" t="s">
        <v>17</v>
      </c>
      <c r="V352" s="51" t="s">
        <v>161</v>
      </c>
      <c r="W352" s="51">
        <v>1</v>
      </c>
      <c r="X352" s="51" t="s">
        <v>142</v>
      </c>
    </row>
    <row r="353" spans="19:24" x14ac:dyDescent="0.25">
      <c r="S353" s="51" t="s">
        <v>388</v>
      </c>
      <c r="T353" s="51" t="s">
        <v>17</v>
      </c>
      <c r="U353" s="51" t="s">
        <v>17</v>
      </c>
      <c r="V353" s="51" t="s">
        <v>161</v>
      </c>
      <c r="W353" s="51">
        <v>1</v>
      </c>
      <c r="X353" s="51" t="s">
        <v>142</v>
      </c>
    </row>
    <row r="354" spans="19:24" x14ac:dyDescent="0.25">
      <c r="S354" s="51" t="s">
        <v>280</v>
      </c>
      <c r="T354" s="51" t="s">
        <v>17</v>
      </c>
      <c r="U354" s="51" t="s">
        <v>17</v>
      </c>
      <c r="V354" s="51" t="s">
        <v>161</v>
      </c>
      <c r="W354" s="51">
        <v>1</v>
      </c>
      <c r="X354" s="51" t="s">
        <v>142</v>
      </c>
    </row>
    <row r="355" spans="19:24" x14ac:dyDescent="0.25">
      <c r="S355" s="51" t="s">
        <v>288</v>
      </c>
      <c r="T355" s="51" t="s">
        <v>17</v>
      </c>
      <c r="U355" s="51" t="s">
        <v>17</v>
      </c>
      <c r="V355" s="51" t="s">
        <v>161</v>
      </c>
      <c r="W355" s="51">
        <v>1</v>
      </c>
      <c r="X355" s="51" t="s">
        <v>142</v>
      </c>
    </row>
    <row r="356" spans="19:24" x14ac:dyDescent="0.25">
      <c r="S356" s="51" t="s">
        <v>292</v>
      </c>
      <c r="T356" s="51" t="s">
        <v>17</v>
      </c>
      <c r="U356" s="51" t="s">
        <v>17</v>
      </c>
      <c r="V356" s="51" t="s">
        <v>161</v>
      </c>
      <c r="W356" s="51">
        <v>1</v>
      </c>
      <c r="X356" s="51" t="s">
        <v>142</v>
      </c>
    </row>
    <row r="357" spans="19:24" x14ac:dyDescent="0.25">
      <c r="S357" s="51" t="s">
        <v>349</v>
      </c>
      <c r="T357" s="51" t="s">
        <v>18</v>
      </c>
      <c r="U357" s="51" t="s">
        <v>18</v>
      </c>
      <c r="V357" s="51" t="s">
        <v>160</v>
      </c>
      <c r="W357" s="51">
        <v>1</v>
      </c>
      <c r="X357" s="51" t="s">
        <v>142</v>
      </c>
    </row>
    <row r="358" spans="19:24" x14ac:dyDescent="0.25">
      <c r="S358" s="51" t="s">
        <v>362</v>
      </c>
      <c r="T358" s="51" t="s">
        <v>18</v>
      </c>
      <c r="U358" s="51" t="s">
        <v>18</v>
      </c>
      <c r="V358" s="51" t="s">
        <v>160</v>
      </c>
      <c r="W358" s="51">
        <v>1</v>
      </c>
      <c r="X358" s="51" t="s">
        <v>142</v>
      </c>
    </row>
    <row r="359" spans="19:24" x14ac:dyDescent="0.25">
      <c r="S359" s="51" t="s">
        <v>660</v>
      </c>
      <c r="T359" s="51" t="s">
        <v>17</v>
      </c>
      <c r="U359" s="51" t="s">
        <v>17</v>
      </c>
      <c r="V359" s="51" t="s">
        <v>161</v>
      </c>
      <c r="W359" s="51">
        <v>1</v>
      </c>
      <c r="X359" s="51" t="s">
        <v>142</v>
      </c>
    </row>
    <row r="360" spans="19:24" x14ac:dyDescent="0.25">
      <c r="S360" s="51" t="s">
        <v>661</v>
      </c>
      <c r="T360" s="51" t="s">
        <v>139</v>
      </c>
      <c r="U360" s="51" t="s">
        <v>139</v>
      </c>
      <c r="V360" s="51" t="s">
        <v>158</v>
      </c>
      <c r="W360" s="51">
        <v>1</v>
      </c>
      <c r="X360" s="51" t="s">
        <v>142</v>
      </c>
    </row>
    <row r="361" spans="19:24" x14ac:dyDescent="0.25">
      <c r="S361" s="51" t="s">
        <v>356</v>
      </c>
      <c r="T361" s="51" t="s">
        <v>18</v>
      </c>
      <c r="U361" s="51" t="s">
        <v>18</v>
      </c>
      <c r="V361" t="s">
        <v>160</v>
      </c>
      <c r="W361" s="51">
        <v>1</v>
      </c>
      <c r="X361" s="51" t="s">
        <v>142</v>
      </c>
    </row>
    <row r="362" spans="19:24" x14ac:dyDescent="0.25">
      <c r="S362" s="51" t="s">
        <v>362</v>
      </c>
      <c r="T362" s="51" t="s">
        <v>18</v>
      </c>
      <c r="U362" s="51" t="s">
        <v>18</v>
      </c>
      <c r="V362" s="51" t="s">
        <v>160</v>
      </c>
      <c r="W362" s="51">
        <v>1</v>
      </c>
      <c r="X362" t="s">
        <v>81</v>
      </c>
    </row>
    <row r="363" spans="19:24" x14ac:dyDescent="0.25">
      <c r="S363" s="51" t="s">
        <v>386</v>
      </c>
      <c r="T363" s="51" t="s">
        <v>17</v>
      </c>
      <c r="U363" s="51" t="s">
        <v>17</v>
      </c>
      <c r="V363" t="s">
        <v>161</v>
      </c>
      <c r="W363" s="51">
        <v>1</v>
      </c>
      <c r="X363" s="51" t="s">
        <v>142</v>
      </c>
    </row>
    <row r="364" spans="19:24" x14ac:dyDescent="0.25">
      <c r="S364" s="51" t="s">
        <v>667</v>
      </c>
      <c r="T364" s="51" t="s">
        <v>18</v>
      </c>
      <c r="U364" s="51" t="s">
        <v>18</v>
      </c>
      <c r="V364" t="s">
        <v>159</v>
      </c>
      <c r="W364" s="51">
        <v>1</v>
      </c>
      <c r="X364" t="s">
        <v>152</v>
      </c>
    </row>
    <row r="365" spans="19:24" x14ac:dyDescent="0.25">
      <c r="S365" s="51" t="s">
        <v>273</v>
      </c>
      <c r="T365" s="51" t="s">
        <v>138</v>
      </c>
      <c r="U365" s="51" t="s">
        <v>16</v>
      </c>
      <c r="V365" s="51" t="s">
        <v>159</v>
      </c>
      <c r="W365" s="51">
        <v>0.72222222222222221</v>
      </c>
      <c r="X365" s="51" t="s">
        <v>142</v>
      </c>
    </row>
    <row r="366" spans="19:24" x14ac:dyDescent="0.25">
      <c r="S366" s="51" t="s">
        <v>385</v>
      </c>
      <c r="T366" s="51" t="s">
        <v>17</v>
      </c>
      <c r="U366" s="51" t="s">
        <v>17</v>
      </c>
      <c r="V366" s="51" t="s">
        <v>161</v>
      </c>
      <c r="W366" s="51">
        <v>1</v>
      </c>
      <c r="X366" s="51" t="s">
        <v>142</v>
      </c>
    </row>
    <row r="367" spans="19:24" x14ac:dyDescent="0.25">
      <c r="S367" s="51" t="s">
        <v>392</v>
      </c>
      <c r="T367" s="51" t="s">
        <v>138</v>
      </c>
      <c r="U367" s="51" t="s">
        <v>16</v>
      </c>
      <c r="V367" s="51" t="s">
        <v>159</v>
      </c>
      <c r="W367" s="51">
        <f>13/18.14</f>
        <v>0.71664829106945971</v>
      </c>
      <c r="X367" s="51" t="s">
        <v>142</v>
      </c>
    </row>
    <row r="368" spans="19:24" x14ac:dyDescent="0.25">
      <c r="S368" s="51" t="s">
        <v>387</v>
      </c>
      <c r="T368" s="51" t="s">
        <v>17</v>
      </c>
      <c r="U368" s="51" t="s">
        <v>17</v>
      </c>
      <c r="V368" s="51" t="s">
        <v>159</v>
      </c>
      <c r="W368" s="51">
        <v>1</v>
      </c>
      <c r="X368" s="51" t="s">
        <v>142</v>
      </c>
    </row>
    <row r="369" spans="19:24" x14ac:dyDescent="0.25">
      <c r="S369" s="51" t="s">
        <v>343</v>
      </c>
      <c r="T369" s="51" t="s">
        <v>18</v>
      </c>
      <c r="U369" s="51" t="s">
        <v>18</v>
      </c>
      <c r="V369" s="51" t="s">
        <v>162</v>
      </c>
      <c r="W369" s="51">
        <v>1</v>
      </c>
      <c r="X369" s="51" t="s">
        <v>142</v>
      </c>
    </row>
    <row r="370" spans="19:24" x14ac:dyDescent="0.25">
      <c r="S370" s="51" t="s">
        <v>689</v>
      </c>
      <c r="T370" s="51" t="s">
        <v>18</v>
      </c>
      <c r="U370" s="51" t="s">
        <v>18</v>
      </c>
      <c r="V370" s="51" t="s">
        <v>160</v>
      </c>
      <c r="W370" s="51">
        <v>1</v>
      </c>
      <c r="X370" s="51" t="s">
        <v>142</v>
      </c>
    </row>
    <row r="371" spans="19:24" x14ac:dyDescent="0.25">
      <c r="S371" s="51" t="s">
        <v>362</v>
      </c>
      <c r="T371" s="51" t="s">
        <v>18</v>
      </c>
      <c r="U371" s="51" t="s">
        <v>18</v>
      </c>
      <c r="V371" s="51" t="s">
        <v>159</v>
      </c>
      <c r="W371" s="51">
        <v>1</v>
      </c>
      <c r="X371" s="51" t="s">
        <v>142</v>
      </c>
    </row>
    <row r="372" spans="19:24" x14ac:dyDescent="0.25">
      <c r="S372" s="51" t="s">
        <v>350</v>
      </c>
      <c r="T372" s="51" t="s">
        <v>18</v>
      </c>
      <c r="U372" s="51" t="s">
        <v>18</v>
      </c>
      <c r="V372" s="51" t="s">
        <v>162</v>
      </c>
      <c r="W372" s="51">
        <v>1</v>
      </c>
      <c r="X372" s="51" t="s">
        <v>142</v>
      </c>
    </row>
    <row r="373" spans="19:24" x14ac:dyDescent="0.25">
      <c r="S373" s="51" t="s">
        <v>387</v>
      </c>
      <c r="T373" s="51" t="s">
        <v>17</v>
      </c>
      <c r="U373" s="51" t="s">
        <v>17</v>
      </c>
      <c r="V373" s="51" t="s">
        <v>157</v>
      </c>
      <c r="W373" s="51">
        <v>1</v>
      </c>
      <c r="X373" s="51" t="s">
        <v>142</v>
      </c>
    </row>
    <row r="374" spans="19:24" x14ac:dyDescent="0.25">
      <c r="S374" s="51" t="s">
        <v>362</v>
      </c>
      <c r="T374" s="51" t="s">
        <v>18</v>
      </c>
      <c r="U374" s="51" t="s">
        <v>18</v>
      </c>
      <c r="V374" s="51" t="s">
        <v>161</v>
      </c>
      <c r="W374" s="51">
        <v>1</v>
      </c>
      <c r="X374" s="51" t="s">
        <v>142</v>
      </c>
    </row>
    <row r="375" spans="19:24" x14ac:dyDescent="0.25">
      <c r="S375" s="51" t="s">
        <v>362</v>
      </c>
      <c r="T375" s="51" t="s">
        <v>18</v>
      </c>
      <c r="U375" s="51" t="s">
        <v>18</v>
      </c>
      <c r="V375" t="s">
        <v>162</v>
      </c>
      <c r="W375" s="51">
        <v>1</v>
      </c>
      <c r="X375" t="s">
        <v>81</v>
      </c>
    </row>
    <row r="376" spans="19:24" x14ac:dyDescent="0.25">
      <c r="S376" s="51" t="s">
        <v>691</v>
      </c>
      <c r="T376" s="51" t="s">
        <v>18</v>
      </c>
      <c r="U376" s="51" t="s">
        <v>18</v>
      </c>
      <c r="V376" s="51" t="s">
        <v>158</v>
      </c>
      <c r="W376" s="51">
        <v>1</v>
      </c>
      <c r="X376" s="51" t="s">
        <v>62</v>
      </c>
    </row>
    <row r="377" spans="19:24" x14ac:dyDescent="0.25">
      <c r="S377" s="51" t="s">
        <v>691</v>
      </c>
      <c r="T377" s="51" t="s">
        <v>18</v>
      </c>
      <c r="U377" s="51" t="s">
        <v>18</v>
      </c>
      <c r="V377" s="51" t="s">
        <v>160</v>
      </c>
      <c r="W377" s="51">
        <v>1</v>
      </c>
      <c r="X377" s="51" t="s">
        <v>62</v>
      </c>
    </row>
    <row r="378" spans="19:24" x14ac:dyDescent="0.25">
      <c r="S378" s="51" t="s">
        <v>692</v>
      </c>
      <c r="T378" s="51" t="s">
        <v>17</v>
      </c>
      <c r="U378" s="51" t="s">
        <v>17</v>
      </c>
      <c r="V378" s="51" t="s">
        <v>158</v>
      </c>
      <c r="W378" s="51">
        <v>1</v>
      </c>
      <c r="X378" s="27" t="s">
        <v>32</v>
      </c>
    </row>
    <row r="379" spans="19:24" x14ac:dyDescent="0.25">
      <c r="S379" s="51" t="s">
        <v>349</v>
      </c>
      <c r="T379" s="51" t="s">
        <v>18</v>
      </c>
      <c r="U379" s="51" t="s">
        <v>18</v>
      </c>
      <c r="V379" t="s">
        <v>159</v>
      </c>
      <c r="W379" s="51">
        <v>1</v>
      </c>
      <c r="X379" s="27" t="s">
        <v>32</v>
      </c>
    </row>
    <row r="380" spans="19:24" x14ac:dyDescent="0.25">
      <c r="S380" s="51" t="s">
        <v>360</v>
      </c>
      <c r="T380" s="51" t="s">
        <v>18</v>
      </c>
      <c r="U380" s="51" t="s">
        <v>18</v>
      </c>
      <c r="V380" t="s">
        <v>162</v>
      </c>
      <c r="W380" s="51">
        <v>1</v>
      </c>
      <c r="X380" s="51" t="s">
        <v>32</v>
      </c>
    </row>
    <row r="381" spans="19:24" x14ac:dyDescent="0.25">
      <c r="S381" s="51" t="s">
        <v>286</v>
      </c>
      <c r="T381" s="51" t="s">
        <v>17</v>
      </c>
      <c r="U381" s="51" t="s">
        <v>17</v>
      </c>
      <c r="V381" t="s">
        <v>157</v>
      </c>
      <c r="W381" s="51">
        <v>1</v>
      </c>
      <c r="X381" s="51" t="s">
        <v>142</v>
      </c>
    </row>
    <row r="382" spans="19:24" x14ac:dyDescent="0.25">
      <c r="S382" s="51" t="s">
        <v>322</v>
      </c>
      <c r="T382" s="51" t="s">
        <v>139</v>
      </c>
      <c r="U382" s="51" t="s">
        <v>139</v>
      </c>
      <c r="V382" t="s">
        <v>157</v>
      </c>
      <c r="W382" s="51">
        <v>1</v>
      </c>
      <c r="X382" s="51" t="s">
        <v>142</v>
      </c>
    </row>
    <row r="383" spans="19:24" x14ac:dyDescent="0.25">
      <c r="S383" s="51" t="s">
        <v>386</v>
      </c>
      <c r="T383" s="51" t="s">
        <v>17</v>
      </c>
      <c r="U383" s="51" t="s">
        <v>17</v>
      </c>
      <c r="V383" s="51" t="s">
        <v>157</v>
      </c>
      <c r="W383" s="51">
        <v>1</v>
      </c>
      <c r="X383" s="51" t="s">
        <v>142</v>
      </c>
    </row>
    <row r="384" spans="19:24" x14ac:dyDescent="0.25">
      <c r="S384" s="51" t="s">
        <v>693</v>
      </c>
      <c r="T384" s="51" t="s">
        <v>17</v>
      </c>
      <c r="U384" s="51" t="s">
        <v>17</v>
      </c>
      <c r="V384" s="51" t="s">
        <v>158</v>
      </c>
      <c r="W384" s="51">
        <v>1</v>
      </c>
      <c r="X384" s="51" t="s">
        <v>117</v>
      </c>
    </row>
    <row r="385" spans="19:24" x14ac:dyDescent="0.25">
      <c r="S385" s="51" t="s">
        <v>389</v>
      </c>
      <c r="T385" s="51" t="s">
        <v>17</v>
      </c>
      <c r="U385" s="51" t="s">
        <v>17</v>
      </c>
      <c r="V385" s="207" t="s">
        <v>159</v>
      </c>
      <c r="W385" s="51">
        <v>1</v>
      </c>
      <c r="X385" s="51" t="s">
        <v>142</v>
      </c>
    </row>
    <row r="386" spans="19:24" x14ac:dyDescent="0.25">
      <c r="S386" s="51" t="s">
        <v>299</v>
      </c>
      <c r="T386" s="51" t="s">
        <v>17</v>
      </c>
      <c r="U386" s="51" t="s">
        <v>17</v>
      </c>
      <c r="V386" s="51" t="s">
        <v>162</v>
      </c>
      <c r="W386" s="51">
        <v>1</v>
      </c>
      <c r="X386" s="51" t="s">
        <v>87</v>
      </c>
    </row>
    <row r="387" spans="19:24" x14ac:dyDescent="0.25">
      <c r="S387" s="51" t="s">
        <v>387</v>
      </c>
      <c r="T387" s="51" t="s">
        <v>17</v>
      </c>
      <c r="U387" s="51" t="s">
        <v>17</v>
      </c>
      <c r="V387" s="51" t="s">
        <v>161</v>
      </c>
      <c r="W387" s="51">
        <v>1</v>
      </c>
      <c r="X387" s="51" t="s">
        <v>142</v>
      </c>
    </row>
  </sheetData>
  <mergeCells count="8">
    <mergeCell ref="AR9:AV9"/>
    <mergeCell ref="F10:L10"/>
    <mergeCell ref="AA9:AF9"/>
    <mergeCell ref="S9:Y9"/>
    <mergeCell ref="B9:C9"/>
    <mergeCell ref="M10:Q10"/>
    <mergeCell ref="E9:Q9"/>
    <mergeCell ref="AH9:AK9"/>
  </mergeCells>
  <conditionalFormatting sqref="A1:XFD68 R69:XFD92 A69:Q1048576 R93:Z279 AA93:XFD1048576 R280:V281 X280:Z281 R282:Z331 R332:W332 Y332:Z332 R333:Z347 R348:W348 Y348:Z348 R349:Z358 R359:R360 T359:Z360 R361:U361 W361:Z361 R362:W362 Y362:Z362 R363:U363 W363:Z363 R364 T364:U364 W364 Y364:Z364 R365:Z374 R375:U375 W375 Y375:Z375 R376:Z1048576">
    <cfRule type="containsText" dxfId="14" priority="17" operator="containsText" text="3INV - 3rd Party Volumes Inventory">
      <formula>NOT(ISERROR(SEARCH("3INV - 3rd Party Volumes Inventory",A1)))</formula>
    </cfRule>
  </conditionalFormatting>
  <conditionalFormatting sqref="B12:B94">
    <cfRule type="duplicateValues" dxfId="13" priority="19"/>
  </conditionalFormatting>
  <conditionalFormatting sqref="E12:E70">
    <cfRule type="duplicateValues" dxfId="12" priority="27"/>
  </conditionalFormatting>
  <conditionalFormatting sqref="S359:S360">
    <cfRule type="containsText" dxfId="11" priority="13" operator="containsText" text="ERROR">
      <formula>NOT(ISERROR(SEARCH("ERROR",S359)))</formula>
    </cfRule>
  </conditionalFormatting>
  <conditionalFormatting sqref="S364">
    <cfRule type="containsText" dxfId="10" priority="8" operator="containsText" text="ERROR">
      <formula>NOT(ISERROR(SEARCH("ERROR",S364)))</formula>
    </cfRule>
  </conditionalFormatting>
  <conditionalFormatting sqref="V361">
    <cfRule type="containsText" dxfId="9" priority="11" operator="containsText" text="ERROR">
      <formula>NOT(ISERROR(SEARCH("ERROR",V361)))</formula>
    </cfRule>
  </conditionalFormatting>
  <conditionalFormatting sqref="V363:V364">
    <cfRule type="containsText" dxfId="8" priority="6" operator="containsText" text="ERROR">
      <formula>NOT(ISERROR(SEARCH("ERROR",V363)))</formula>
    </cfRule>
  </conditionalFormatting>
  <conditionalFormatting sqref="V375">
    <cfRule type="containsText" dxfId="7" priority="2" operator="containsText" text="ERROR">
      <formula>NOT(ISERROR(SEARCH("ERROR",V375)))</formula>
    </cfRule>
  </conditionalFormatting>
  <conditionalFormatting sqref="W280:W281">
    <cfRule type="containsText" dxfId="6" priority="3" operator="containsText" text="3INV - 3rd Party Volumes Inventory">
      <formula>NOT(ISERROR(SEARCH("3INV - 3rd Party Volumes Inventory",W280)))</formula>
    </cfRule>
  </conditionalFormatting>
  <conditionalFormatting sqref="X332">
    <cfRule type="containsText" dxfId="5" priority="16" operator="containsText" text="ERROR">
      <formula>NOT(ISERROR(SEARCH("ERROR",X332)))</formula>
    </cfRule>
  </conditionalFormatting>
  <conditionalFormatting sqref="X348">
    <cfRule type="containsText" dxfId="4" priority="15" operator="containsText" text="ERROR">
      <formula>NOT(ISERROR(SEARCH("ERROR",X348)))</formula>
    </cfRule>
  </conditionalFormatting>
  <conditionalFormatting sqref="X362">
    <cfRule type="containsText" dxfId="3" priority="10" operator="containsText" text="ERROR">
      <formula>NOT(ISERROR(SEARCH("ERROR",X362)))</formula>
    </cfRule>
  </conditionalFormatting>
  <conditionalFormatting sqref="X364">
    <cfRule type="containsText" dxfId="2" priority="5" operator="containsText" text="ERROR">
      <formula>NOT(ISERROR(SEARCH("ERROR",X364)))</formula>
    </cfRule>
  </conditionalFormatting>
  <conditionalFormatting sqref="X375">
    <cfRule type="containsText" dxfId="1" priority="1" operator="containsText" text="ERROR">
      <formula>NOT(ISERROR(SEARCH("ERROR",X375)))</formula>
    </cfRule>
  </conditionalFormatting>
  <conditionalFormatting sqref="AA12:AA105">
    <cfRule type="duplicateValues" dxfId="0" priority="55"/>
  </conditionalFormatting>
  <pageMargins left="0.7" right="0.7" top="0.75" bottom="0.75" header="0.3" footer="0.3"/>
  <pageSetup orientation="portrait" horizontalDpi="360" verticalDpi="360" r:id="rId1"/>
  <customProperties>
    <customPr name="isReportSheetChanged" r:id="rId2"/>
  </customProperties>
  <drawing r:id="rId3"/>
  <tableParts count="6"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2512-A72B-4726-AE93-D4BB0DD4FCE1}">
  <sheetPr codeName="Hoja4">
    <tabColor rgb="FFFFC000"/>
  </sheetPr>
  <dimension ref="B2:E217"/>
  <sheetViews>
    <sheetView showGridLines="0" zoomScale="95" zoomScaleNormal="95" workbookViewId="0">
      <selection activeCell="B9" sqref="B9"/>
    </sheetView>
  </sheetViews>
  <sheetFormatPr baseColWidth="10" defaultColWidth="9.140625" defaultRowHeight="15" x14ac:dyDescent="0.25"/>
  <cols>
    <col min="1" max="1" width="3.140625" style="51" customWidth="1"/>
    <col min="2" max="2" width="57.42578125" style="51" bestFit="1" customWidth="1"/>
    <col min="3" max="3" width="17.85546875" style="51" customWidth="1"/>
    <col min="4" max="4" width="40.42578125" style="51" customWidth="1"/>
    <col min="5" max="6" width="157.42578125" style="51" bestFit="1" customWidth="1"/>
    <col min="7" max="16384" width="9.140625" style="51"/>
  </cols>
  <sheetData>
    <row r="2" spans="2:5" x14ac:dyDescent="0.25">
      <c r="B2" s="51" t="s">
        <v>501</v>
      </c>
      <c r="C2" s="51" t="s">
        <v>502</v>
      </c>
      <c r="D2" s="51" t="s">
        <v>503</v>
      </c>
      <c r="E2" s="51" t="s">
        <v>504</v>
      </c>
    </row>
    <row r="3" spans="2:5" customFormat="1" x14ac:dyDescent="0.25">
      <c r="B3" t="s">
        <v>254</v>
      </c>
      <c r="C3" t="s">
        <v>4</v>
      </c>
      <c r="D3" t="s">
        <v>282</v>
      </c>
      <c r="E3" t="s">
        <v>505</v>
      </c>
    </row>
    <row r="4" spans="2:5" x14ac:dyDescent="0.25">
      <c r="B4" s="51" t="s">
        <v>254</v>
      </c>
      <c r="C4" s="51" t="s">
        <v>225</v>
      </c>
      <c r="D4" s="51" t="s">
        <v>282</v>
      </c>
      <c r="E4" s="51" t="s">
        <v>505</v>
      </c>
    </row>
    <row r="5" spans="2:5" customFormat="1" x14ac:dyDescent="0.25">
      <c r="B5" t="s">
        <v>254</v>
      </c>
      <c r="C5" t="s">
        <v>223</v>
      </c>
      <c r="D5" t="s">
        <v>282</v>
      </c>
      <c r="E5" t="s">
        <v>505</v>
      </c>
    </row>
    <row r="6" spans="2:5" customFormat="1" x14ac:dyDescent="0.25">
      <c r="B6" t="s">
        <v>254</v>
      </c>
      <c r="C6" t="s">
        <v>227</v>
      </c>
      <c r="D6" t="s">
        <v>282</v>
      </c>
      <c r="E6" t="s">
        <v>505</v>
      </c>
    </row>
    <row r="7" spans="2:5" customFormat="1" x14ac:dyDescent="0.25">
      <c r="B7" t="s">
        <v>254</v>
      </c>
      <c r="C7" t="s">
        <v>247</v>
      </c>
      <c r="D7" t="s">
        <v>282</v>
      </c>
      <c r="E7" t="s">
        <v>505</v>
      </c>
    </row>
    <row r="8" spans="2:5" customFormat="1" x14ac:dyDescent="0.25">
      <c r="B8" t="s">
        <v>255</v>
      </c>
      <c r="C8" t="s">
        <v>4</v>
      </c>
      <c r="D8" t="s">
        <v>282</v>
      </c>
      <c r="E8" t="s">
        <v>505</v>
      </c>
    </row>
    <row r="9" spans="2:5" x14ac:dyDescent="0.25">
      <c r="B9" s="51" t="s">
        <v>255</v>
      </c>
      <c r="C9" s="51" t="s">
        <v>225</v>
      </c>
      <c r="D9" s="51" t="s">
        <v>282</v>
      </c>
      <c r="E9" s="51" t="s">
        <v>505</v>
      </c>
    </row>
    <row r="10" spans="2:5" customFormat="1" x14ac:dyDescent="0.25">
      <c r="B10" t="s">
        <v>255</v>
      </c>
      <c r="C10" t="s">
        <v>223</v>
      </c>
      <c r="D10" t="s">
        <v>282</v>
      </c>
      <c r="E10" t="s">
        <v>505</v>
      </c>
    </row>
    <row r="11" spans="2:5" customFormat="1" x14ac:dyDescent="0.25">
      <c r="B11" t="s">
        <v>255</v>
      </c>
      <c r="C11" t="s">
        <v>227</v>
      </c>
      <c r="D11" t="s">
        <v>282</v>
      </c>
      <c r="E11" t="s">
        <v>505</v>
      </c>
    </row>
    <row r="12" spans="2:5" customFormat="1" x14ac:dyDescent="0.25">
      <c r="B12" t="s">
        <v>255</v>
      </c>
      <c r="C12" t="s">
        <v>247</v>
      </c>
      <c r="D12" t="s">
        <v>282</v>
      </c>
      <c r="E12" t="s">
        <v>505</v>
      </c>
    </row>
    <row r="13" spans="2:5" customFormat="1" x14ac:dyDescent="0.25">
      <c r="B13" t="s">
        <v>253</v>
      </c>
      <c r="C13" t="s">
        <v>4</v>
      </c>
      <c r="D13" t="s">
        <v>282</v>
      </c>
      <c r="E13" t="s">
        <v>505</v>
      </c>
    </row>
    <row r="14" spans="2:5" x14ac:dyDescent="0.25">
      <c r="B14" s="51" t="s">
        <v>253</v>
      </c>
      <c r="C14" s="51" t="s">
        <v>225</v>
      </c>
      <c r="D14" s="51" t="s">
        <v>282</v>
      </c>
      <c r="E14" s="51" t="s">
        <v>505</v>
      </c>
    </row>
    <row r="15" spans="2:5" customFormat="1" x14ac:dyDescent="0.25">
      <c r="B15" t="s">
        <v>253</v>
      </c>
      <c r="C15" t="s">
        <v>223</v>
      </c>
      <c r="D15" t="s">
        <v>282</v>
      </c>
      <c r="E15" t="s">
        <v>505</v>
      </c>
    </row>
    <row r="16" spans="2:5" customFormat="1" x14ac:dyDescent="0.25">
      <c r="B16" t="s">
        <v>253</v>
      </c>
      <c r="C16" t="s">
        <v>227</v>
      </c>
      <c r="D16" t="s">
        <v>282</v>
      </c>
      <c r="E16" t="s">
        <v>505</v>
      </c>
    </row>
    <row r="17" spans="2:5" customFormat="1" x14ac:dyDescent="0.25">
      <c r="B17" t="s">
        <v>253</v>
      </c>
      <c r="C17" t="s">
        <v>247</v>
      </c>
      <c r="D17" t="s">
        <v>282</v>
      </c>
      <c r="E17" t="s">
        <v>505</v>
      </c>
    </row>
    <row r="18" spans="2:5" customFormat="1" x14ac:dyDescent="0.25">
      <c r="B18" t="s">
        <v>252</v>
      </c>
      <c r="C18" t="s">
        <v>4</v>
      </c>
      <c r="D18" t="s">
        <v>282</v>
      </c>
      <c r="E18" t="s">
        <v>505</v>
      </c>
    </row>
    <row r="19" spans="2:5" x14ac:dyDescent="0.25">
      <c r="B19" s="51" t="s">
        <v>252</v>
      </c>
      <c r="C19" s="51" t="s">
        <v>225</v>
      </c>
      <c r="D19" s="51" t="s">
        <v>282</v>
      </c>
      <c r="E19" s="51" t="s">
        <v>505</v>
      </c>
    </row>
    <row r="20" spans="2:5" customFormat="1" x14ac:dyDescent="0.25">
      <c r="B20" t="s">
        <v>252</v>
      </c>
      <c r="C20" t="s">
        <v>223</v>
      </c>
      <c r="D20" t="s">
        <v>282</v>
      </c>
      <c r="E20" t="s">
        <v>505</v>
      </c>
    </row>
    <row r="21" spans="2:5" customFormat="1" x14ac:dyDescent="0.25">
      <c r="B21" t="s">
        <v>252</v>
      </c>
      <c r="C21" t="s">
        <v>227</v>
      </c>
      <c r="D21" t="s">
        <v>282</v>
      </c>
      <c r="E21" t="s">
        <v>505</v>
      </c>
    </row>
    <row r="22" spans="2:5" customFormat="1" x14ac:dyDescent="0.25">
      <c r="B22" t="s">
        <v>252</v>
      </c>
      <c r="C22" t="s">
        <v>247</v>
      </c>
      <c r="D22" t="s">
        <v>282</v>
      </c>
      <c r="E22" t="s">
        <v>505</v>
      </c>
    </row>
    <row r="23" spans="2:5" customFormat="1" x14ac:dyDescent="0.25">
      <c r="B23" t="s">
        <v>256</v>
      </c>
      <c r="C23" t="s">
        <v>4</v>
      </c>
      <c r="D23" t="s">
        <v>506</v>
      </c>
      <c r="E23" t="s">
        <v>507</v>
      </c>
    </row>
    <row r="24" spans="2:5" x14ac:dyDescent="0.25">
      <c r="B24" s="51" t="s">
        <v>256</v>
      </c>
      <c r="C24" s="51" t="s">
        <v>225</v>
      </c>
      <c r="D24" s="51" t="s">
        <v>44</v>
      </c>
      <c r="E24" s="51" t="s">
        <v>508</v>
      </c>
    </row>
    <row r="25" spans="2:5" customFormat="1" x14ac:dyDescent="0.25">
      <c r="B25" t="s">
        <v>256</v>
      </c>
      <c r="C25" t="s">
        <v>223</v>
      </c>
      <c r="D25" t="s">
        <v>231</v>
      </c>
      <c r="E25" t="s">
        <v>509</v>
      </c>
    </row>
    <row r="26" spans="2:5" customFormat="1" x14ac:dyDescent="0.25">
      <c r="B26" t="s">
        <v>256</v>
      </c>
      <c r="C26" t="s">
        <v>227</v>
      </c>
      <c r="D26" t="s">
        <v>45</v>
      </c>
      <c r="E26" t="s">
        <v>510</v>
      </c>
    </row>
    <row r="27" spans="2:5" customFormat="1" x14ac:dyDescent="0.25">
      <c r="B27" t="s">
        <v>256</v>
      </c>
      <c r="C27" t="s">
        <v>247</v>
      </c>
      <c r="D27" t="s">
        <v>175</v>
      </c>
      <c r="E27" t="s">
        <v>511</v>
      </c>
    </row>
    <row r="28" spans="2:5" customFormat="1" x14ac:dyDescent="0.25">
      <c r="B28" t="s">
        <v>257</v>
      </c>
      <c r="C28" t="s">
        <v>4</v>
      </c>
      <c r="D28" t="s">
        <v>506</v>
      </c>
      <c r="E28" t="s">
        <v>507</v>
      </c>
    </row>
    <row r="29" spans="2:5" x14ac:dyDescent="0.25">
      <c r="B29" s="51" t="s">
        <v>257</v>
      </c>
      <c r="C29" s="51" t="s">
        <v>225</v>
      </c>
      <c r="D29" s="51" t="s">
        <v>44</v>
      </c>
      <c r="E29" s="51" t="s">
        <v>512</v>
      </c>
    </row>
    <row r="30" spans="2:5" customFormat="1" x14ac:dyDescent="0.25">
      <c r="B30" t="s">
        <v>257</v>
      </c>
      <c r="C30" t="s">
        <v>223</v>
      </c>
      <c r="D30" t="s">
        <v>231</v>
      </c>
      <c r="E30" t="s">
        <v>509</v>
      </c>
    </row>
    <row r="31" spans="2:5" customFormat="1" x14ac:dyDescent="0.25">
      <c r="B31" t="s">
        <v>257</v>
      </c>
      <c r="C31" t="s">
        <v>227</v>
      </c>
      <c r="D31" t="s">
        <v>45</v>
      </c>
      <c r="E31" t="s">
        <v>510</v>
      </c>
    </row>
    <row r="32" spans="2:5" customFormat="1" x14ac:dyDescent="0.25">
      <c r="B32" t="s">
        <v>257</v>
      </c>
      <c r="C32" t="s">
        <v>247</v>
      </c>
      <c r="D32" t="s">
        <v>175</v>
      </c>
      <c r="E32" t="s">
        <v>511</v>
      </c>
    </row>
    <row r="33" spans="2:5" customFormat="1" x14ac:dyDescent="0.25">
      <c r="B33" t="s">
        <v>178</v>
      </c>
      <c r="C33" t="s">
        <v>4</v>
      </c>
      <c r="D33" t="s">
        <v>513</v>
      </c>
      <c r="E33" t="s">
        <v>514</v>
      </c>
    </row>
    <row r="34" spans="2:5" x14ac:dyDescent="0.25">
      <c r="B34" s="51" t="s">
        <v>178</v>
      </c>
      <c r="C34" s="51" t="s">
        <v>225</v>
      </c>
      <c r="D34" s="51" t="s">
        <v>513</v>
      </c>
      <c r="E34" s="51" t="s">
        <v>514</v>
      </c>
    </row>
    <row r="35" spans="2:5" customFormat="1" x14ac:dyDescent="0.25">
      <c r="B35" t="s">
        <v>178</v>
      </c>
      <c r="C35" t="s">
        <v>223</v>
      </c>
      <c r="D35" t="s">
        <v>231</v>
      </c>
      <c r="E35" t="s">
        <v>509</v>
      </c>
    </row>
    <row r="36" spans="2:5" customFormat="1" x14ac:dyDescent="0.25">
      <c r="B36" t="s">
        <v>178</v>
      </c>
      <c r="C36" t="s">
        <v>227</v>
      </c>
      <c r="D36" t="s">
        <v>45</v>
      </c>
      <c r="E36" t="s">
        <v>510</v>
      </c>
    </row>
    <row r="37" spans="2:5" customFormat="1" x14ac:dyDescent="0.25">
      <c r="B37" t="s">
        <v>178</v>
      </c>
      <c r="C37" t="s">
        <v>247</v>
      </c>
      <c r="D37" t="s">
        <v>175</v>
      </c>
      <c r="E37" t="s">
        <v>511</v>
      </c>
    </row>
    <row r="38" spans="2:5" customFormat="1" x14ac:dyDescent="0.25">
      <c r="B38" t="s">
        <v>259</v>
      </c>
      <c r="C38" t="s">
        <v>4</v>
      </c>
      <c r="D38" t="s">
        <v>506</v>
      </c>
      <c r="E38" t="s">
        <v>507</v>
      </c>
    </row>
    <row r="39" spans="2:5" x14ac:dyDescent="0.25">
      <c r="B39" s="51" t="s">
        <v>259</v>
      </c>
      <c r="C39" s="51" t="s">
        <v>225</v>
      </c>
      <c r="D39" s="51" t="s">
        <v>44</v>
      </c>
      <c r="E39" s="51" t="s">
        <v>508</v>
      </c>
    </row>
    <row r="40" spans="2:5" customFormat="1" x14ac:dyDescent="0.25">
      <c r="B40" t="s">
        <v>259</v>
      </c>
      <c r="C40" t="s">
        <v>223</v>
      </c>
      <c r="D40" t="s">
        <v>231</v>
      </c>
      <c r="E40" t="s">
        <v>509</v>
      </c>
    </row>
    <row r="41" spans="2:5" customFormat="1" x14ac:dyDescent="0.25">
      <c r="B41" t="s">
        <v>259</v>
      </c>
      <c r="C41" t="s">
        <v>227</v>
      </c>
      <c r="D41" t="s">
        <v>45</v>
      </c>
      <c r="E41" t="s">
        <v>510</v>
      </c>
    </row>
    <row r="42" spans="2:5" customFormat="1" x14ac:dyDescent="0.25">
      <c r="B42" t="s">
        <v>259</v>
      </c>
      <c r="C42" t="s">
        <v>247</v>
      </c>
      <c r="D42" t="s">
        <v>175</v>
      </c>
      <c r="E42" t="s">
        <v>511</v>
      </c>
    </row>
    <row r="43" spans="2:5" customFormat="1" x14ac:dyDescent="0.25">
      <c r="B43" t="s">
        <v>261</v>
      </c>
      <c r="C43" t="s">
        <v>4</v>
      </c>
      <c r="D43" t="s">
        <v>506</v>
      </c>
      <c r="E43" t="s">
        <v>507</v>
      </c>
    </row>
    <row r="44" spans="2:5" x14ac:dyDescent="0.25">
      <c r="B44" s="51" t="s">
        <v>261</v>
      </c>
      <c r="C44" s="51" t="s">
        <v>225</v>
      </c>
      <c r="D44" s="51" t="s">
        <v>44</v>
      </c>
      <c r="E44" s="51" t="s">
        <v>508</v>
      </c>
    </row>
    <row r="45" spans="2:5" customFormat="1" x14ac:dyDescent="0.25">
      <c r="B45" t="s">
        <v>261</v>
      </c>
      <c r="C45" t="s">
        <v>223</v>
      </c>
      <c r="D45" t="s">
        <v>231</v>
      </c>
      <c r="E45" t="s">
        <v>509</v>
      </c>
    </row>
    <row r="46" spans="2:5" customFormat="1" x14ac:dyDescent="0.25">
      <c r="B46" t="s">
        <v>261</v>
      </c>
      <c r="C46" t="s">
        <v>227</v>
      </c>
      <c r="D46" t="s">
        <v>45</v>
      </c>
      <c r="E46" t="s">
        <v>510</v>
      </c>
    </row>
    <row r="47" spans="2:5" customFormat="1" x14ac:dyDescent="0.25">
      <c r="B47" t="s">
        <v>261</v>
      </c>
      <c r="C47" t="s">
        <v>247</v>
      </c>
      <c r="D47" t="s">
        <v>175</v>
      </c>
      <c r="E47" t="s">
        <v>511</v>
      </c>
    </row>
    <row r="48" spans="2:5" customFormat="1" x14ac:dyDescent="0.25">
      <c r="B48" t="s">
        <v>260</v>
      </c>
      <c r="C48" t="s">
        <v>4</v>
      </c>
      <c r="D48" t="s">
        <v>506</v>
      </c>
      <c r="E48" t="s">
        <v>507</v>
      </c>
    </row>
    <row r="49" spans="2:5" x14ac:dyDescent="0.25">
      <c r="B49" s="51" t="s">
        <v>260</v>
      </c>
      <c r="C49" s="51" t="s">
        <v>225</v>
      </c>
      <c r="D49" s="51" t="s">
        <v>44</v>
      </c>
      <c r="E49" s="51" t="s">
        <v>508</v>
      </c>
    </row>
    <row r="50" spans="2:5" customFormat="1" x14ac:dyDescent="0.25">
      <c r="B50" t="s">
        <v>260</v>
      </c>
      <c r="C50" t="s">
        <v>223</v>
      </c>
      <c r="D50" t="s">
        <v>231</v>
      </c>
      <c r="E50" t="s">
        <v>509</v>
      </c>
    </row>
    <row r="51" spans="2:5" customFormat="1" x14ac:dyDescent="0.25">
      <c r="B51" t="s">
        <v>260</v>
      </c>
      <c r="C51" t="s">
        <v>227</v>
      </c>
      <c r="D51" t="s">
        <v>45</v>
      </c>
      <c r="E51" t="s">
        <v>510</v>
      </c>
    </row>
    <row r="52" spans="2:5" customFormat="1" x14ac:dyDescent="0.25">
      <c r="B52" t="s">
        <v>260</v>
      </c>
      <c r="C52" t="s">
        <v>247</v>
      </c>
      <c r="D52" t="s">
        <v>175</v>
      </c>
      <c r="E52" t="s">
        <v>511</v>
      </c>
    </row>
    <row r="53" spans="2:5" customFormat="1" x14ac:dyDescent="0.25">
      <c r="B53" t="s">
        <v>10</v>
      </c>
      <c r="C53" t="s">
        <v>4</v>
      </c>
      <c r="D53" t="s">
        <v>506</v>
      </c>
      <c r="E53" t="s">
        <v>515</v>
      </c>
    </row>
    <row r="54" spans="2:5" x14ac:dyDescent="0.25">
      <c r="B54" s="51" t="s">
        <v>10</v>
      </c>
      <c r="C54" s="51" t="s">
        <v>225</v>
      </c>
      <c r="D54" s="51" t="s">
        <v>516</v>
      </c>
      <c r="E54" s="51" t="s">
        <v>517</v>
      </c>
    </row>
    <row r="55" spans="2:5" customFormat="1" x14ac:dyDescent="0.25">
      <c r="B55" t="s">
        <v>10</v>
      </c>
      <c r="C55" t="s">
        <v>223</v>
      </c>
      <c r="D55" t="s">
        <v>231</v>
      </c>
      <c r="E55" t="s">
        <v>509</v>
      </c>
    </row>
    <row r="56" spans="2:5" customFormat="1" x14ac:dyDescent="0.25">
      <c r="B56" t="s">
        <v>10</v>
      </c>
      <c r="C56" t="s">
        <v>227</v>
      </c>
      <c r="D56" t="s">
        <v>45</v>
      </c>
      <c r="E56" t="s">
        <v>510</v>
      </c>
    </row>
    <row r="57" spans="2:5" customFormat="1" x14ac:dyDescent="0.25">
      <c r="B57" t="s">
        <v>10</v>
      </c>
      <c r="C57" t="s">
        <v>247</v>
      </c>
      <c r="D57" t="s">
        <v>175</v>
      </c>
      <c r="E57" t="s">
        <v>511</v>
      </c>
    </row>
    <row r="58" spans="2:5" customFormat="1" x14ac:dyDescent="0.25">
      <c r="B58" t="s">
        <v>311</v>
      </c>
      <c r="C58" t="s">
        <v>4</v>
      </c>
      <c r="D58" t="s">
        <v>506</v>
      </c>
      <c r="E58" t="s">
        <v>507</v>
      </c>
    </row>
    <row r="59" spans="2:5" x14ac:dyDescent="0.25">
      <c r="B59" s="51" t="s">
        <v>311</v>
      </c>
      <c r="C59" s="51" t="s">
        <v>225</v>
      </c>
      <c r="D59" s="51" t="s">
        <v>44</v>
      </c>
      <c r="E59" s="51" t="s">
        <v>508</v>
      </c>
    </row>
    <row r="60" spans="2:5" customFormat="1" x14ac:dyDescent="0.25">
      <c r="B60" t="s">
        <v>311</v>
      </c>
      <c r="C60" t="s">
        <v>223</v>
      </c>
      <c r="D60" t="s">
        <v>231</v>
      </c>
      <c r="E60" t="s">
        <v>509</v>
      </c>
    </row>
    <row r="61" spans="2:5" customFormat="1" x14ac:dyDescent="0.25">
      <c r="B61" t="s">
        <v>311</v>
      </c>
      <c r="C61" t="s">
        <v>227</v>
      </c>
      <c r="D61" t="s">
        <v>45</v>
      </c>
      <c r="E61" t="s">
        <v>510</v>
      </c>
    </row>
    <row r="62" spans="2:5" customFormat="1" x14ac:dyDescent="0.25">
      <c r="B62" t="s">
        <v>311</v>
      </c>
      <c r="C62" t="s">
        <v>247</v>
      </c>
      <c r="D62" t="s">
        <v>175</v>
      </c>
      <c r="E62" t="s">
        <v>511</v>
      </c>
    </row>
    <row r="63" spans="2:5" customFormat="1" x14ac:dyDescent="0.25">
      <c r="B63" t="s">
        <v>9</v>
      </c>
      <c r="C63" t="s">
        <v>4</v>
      </c>
      <c r="D63" t="s">
        <v>516</v>
      </c>
      <c r="E63" t="s">
        <v>518</v>
      </c>
    </row>
    <row r="64" spans="2:5" x14ac:dyDescent="0.25">
      <c r="B64" s="51" t="s">
        <v>9</v>
      </c>
      <c r="C64" s="51" t="s">
        <v>225</v>
      </c>
      <c r="D64" s="51" t="s">
        <v>516</v>
      </c>
      <c r="E64" s="51" t="s">
        <v>519</v>
      </c>
    </row>
    <row r="65" spans="2:5" customFormat="1" x14ac:dyDescent="0.25">
      <c r="B65" t="s">
        <v>9</v>
      </c>
      <c r="C65" t="s">
        <v>223</v>
      </c>
      <c r="D65" t="s">
        <v>231</v>
      </c>
      <c r="E65" t="s">
        <v>509</v>
      </c>
    </row>
    <row r="66" spans="2:5" customFormat="1" x14ac:dyDescent="0.25">
      <c r="B66" t="s">
        <v>9</v>
      </c>
      <c r="C66" t="s">
        <v>227</v>
      </c>
      <c r="D66" t="s">
        <v>45</v>
      </c>
      <c r="E66" t="s">
        <v>510</v>
      </c>
    </row>
    <row r="67" spans="2:5" customFormat="1" x14ac:dyDescent="0.25">
      <c r="B67" t="s">
        <v>9</v>
      </c>
      <c r="C67" t="s">
        <v>247</v>
      </c>
      <c r="D67" t="s">
        <v>175</v>
      </c>
      <c r="E67" t="s">
        <v>511</v>
      </c>
    </row>
    <row r="68" spans="2:5" customFormat="1" x14ac:dyDescent="0.25">
      <c r="B68" t="s">
        <v>263</v>
      </c>
      <c r="C68" t="s">
        <v>4</v>
      </c>
      <c r="D68" t="s">
        <v>506</v>
      </c>
      <c r="E68" t="s">
        <v>520</v>
      </c>
    </row>
    <row r="69" spans="2:5" x14ac:dyDescent="0.25">
      <c r="B69" s="51" t="s">
        <v>263</v>
      </c>
      <c r="C69" s="51" t="s">
        <v>225</v>
      </c>
      <c r="D69" s="51" t="s">
        <v>44</v>
      </c>
      <c r="E69" s="51" t="s">
        <v>508</v>
      </c>
    </row>
    <row r="70" spans="2:5" customFormat="1" x14ac:dyDescent="0.25">
      <c r="B70" t="s">
        <v>263</v>
      </c>
      <c r="C70" t="s">
        <v>223</v>
      </c>
      <c r="D70" t="s">
        <v>231</v>
      </c>
      <c r="E70" t="s">
        <v>509</v>
      </c>
    </row>
    <row r="71" spans="2:5" customFormat="1" x14ac:dyDescent="0.25">
      <c r="B71" t="s">
        <v>263</v>
      </c>
      <c r="C71" t="s">
        <v>227</v>
      </c>
      <c r="D71" t="s">
        <v>45</v>
      </c>
      <c r="E71" t="s">
        <v>510</v>
      </c>
    </row>
    <row r="72" spans="2:5" customFormat="1" x14ac:dyDescent="0.25">
      <c r="B72" t="s">
        <v>263</v>
      </c>
      <c r="C72" t="s">
        <v>247</v>
      </c>
      <c r="D72" t="s">
        <v>175</v>
      </c>
      <c r="E72" t="s">
        <v>511</v>
      </c>
    </row>
    <row r="73" spans="2:5" customFormat="1" x14ac:dyDescent="0.25">
      <c r="B73" t="s">
        <v>177</v>
      </c>
      <c r="C73" t="s">
        <v>4</v>
      </c>
      <c r="D73" t="s">
        <v>506</v>
      </c>
      <c r="E73" t="s">
        <v>521</v>
      </c>
    </row>
    <row r="74" spans="2:5" x14ac:dyDescent="0.25">
      <c r="B74" s="51" t="s">
        <v>177</v>
      </c>
      <c r="C74" s="51" t="s">
        <v>225</v>
      </c>
      <c r="D74" s="51" t="s">
        <v>44</v>
      </c>
      <c r="E74" s="51" t="s">
        <v>508</v>
      </c>
    </row>
    <row r="75" spans="2:5" customFormat="1" x14ac:dyDescent="0.25">
      <c r="B75" t="s">
        <v>177</v>
      </c>
      <c r="C75" t="s">
        <v>223</v>
      </c>
      <c r="D75" t="s">
        <v>231</v>
      </c>
      <c r="E75" t="s">
        <v>509</v>
      </c>
    </row>
    <row r="76" spans="2:5" customFormat="1" x14ac:dyDescent="0.25">
      <c r="B76" t="s">
        <v>177</v>
      </c>
      <c r="C76" t="s">
        <v>227</v>
      </c>
      <c r="D76" t="s">
        <v>45</v>
      </c>
      <c r="E76" t="s">
        <v>510</v>
      </c>
    </row>
    <row r="77" spans="2:5" customFormat="1" x14ac:dyDescent="0.25">
      <c r="B77" t="s">
        <v>177</v>
      </c>
      <c r="C77" t="s">
        <v>247</v>
      </c>
      <c r="D77" t="s">
        <v>175</v>
      </c>
      <c r="E77" t="s">
        <v>511</v>
      </c>
    </row>
    <row r="78" spans="2:5" customFormat="1" x14ac:dyDescent="0.25">
      <c r="B78" t="s">
        <v>266</v>
      </c>
      <c r="C78" t="s">
        <v>4</v>
      </c>
      <c r="D78" t="s">
        <v>506</v>
      </c>
      <c r="E78" t="s">
        <v>507</v>
      </c>
    </row>
    <row r="79" spans="2:5" x14ac:dyDescent="0.25">
      <c r="B79" s="51" t="s">
        <v>266</v>
      </c>
      <c r="C79" s="51" t="s">
        <v>225</v>
      </c>
      <c r="D79" s="51" t="s">
        <v>44</v>
      </c>
      <c r="E79" s="51" t="s">
        <v>508</v>
      </c>
    </row>
    <row r="80" spans="2:5" customFormat="1" x14ac:dyDescent="0.25">
      <c r="B80" t="s">
        <v>266</v>
      </c>
      <c r="C80" t="s">
        <v>223</v>
      </c>
      <c r="D80" t="s">
        <v>231</v>
      </c>
      <c r="E80" t="s">
        <v>509</v>
      </c>
    </row>
    <row r="81" spans="2:5" customFormat="1" x14ac:dyDescent="0.25">
      <c r="B81" t="s">
        <v>266</v>
      </c>
      <c r="C81" t="s">
        <v>227</v>
      </c>
      <c r="D81" t="s">
        <v>45</v>
      </c>
      <c r="E81" t="s">
        <v>510</v>
      </c>
    </row>
    <row r="82" spans="2:5" customFormat="1" x14ac:dyDescent="0.25">
      <c r="B82" t="s">
        <v>266</v>
      </c>
      <c r="C82" t="s">
        <v>247</v>
      </c>
      <c r="D82" t="s">
        <v>175</v>
      </c>
      <c r="E82" t="s">
        <v>511</v>
      </c>
    </row>
    <row r="83" spans="2:5" customFormat="1" x14ac:dyDescent="0.25">
      <c r="B83" t="s">
        <v>14</v>
      </c>
      <c r="C83" t="s">
        <v>4</v>
      </c>
      <c r="D83" t="s">
        <v>506</v>
      </c>
      <c r="E83" t="s">
        <v>522</v>
      </c>
    </row>
    <row r="84" spans="2:5" x14ac:dyDescent="0.25">
      <c r="B84" s="51" t="s">
        <v>14</v>
      </c>
      <c r="C84" s="51" t="s">
        <v>225</v>
      </c>
      <c r="D84" s="51" t="s">
        <v>44</v>
      </c>
      <c r="E84" s="51" t="s">
        <v>523</v>
      </c>
    </row>
    <row r="85" spans="2:5" customFormat="1" x14ac:dyDescent="0.25">
      <c r="B85" t="s">
        <v>14</v>
      </c>
      <c r="C85" t="s">
        <v>223</v>
      </c>
      <c r="D85" t="s">
        <v>231</v>
      </c>
      <c r="E85" t="s">
        <v>509</v>
      </c>
    </row>
    <row r="86" spans="2:5" customFormat="1" x14ac:dyDescent="0.25">
      <c r="B86" t="s">
        <v>14</v>
      </c>
      <c r="C86" t="s">
        <v>227</v>
      </c>
      <c r="D86" t="s">
        <v>45</v>
      </c>
      <c r="E86" t="s">
        <v>510</v>
      </c>
    </row>
    <row r="87" spans="2:5" customFormat="1" x14ac:dyDescent="0.25">
      <c r="B87" t="s">
        <v>14</v>
      </c>
      <c r="C87" t="s">
        <v>247</v>
      </c>
      <c r="D87" t="s">
        <v>175</v>
      </c>
      <c r="E87" t="s">
        <v>511</v>
      </c>
    </row>
    <row r="88" spans="2:5" customFormat="1" x14ac:dyDescent="0.25">
      <c r="B88" t="s">
        <v>13</v>
      </c>
      <c r="C88" t="s">
        <v>4</v>
      </c>
      <c r="D88" t="s">
        <v>506</v>
      </c>
      <c r="E88" t="s">
        <v>524</v>
      </c>
    </row>
    <row r="89" spans="2:5" x14ac:dyDescent="0.25">
      <c r="B89" s="51" t="s">
        <v>13</v>
      </c>
      <c r="C89" s="51" t="s">
        <v>225</v>
      </c>
      <c r="D89" s="51" t="s">
        <v>44</v>
      </c>
      <c r="E89" s="51" t="s">
        <v>525</v>
      </c>
    </row>
    <row r="90" spans="2:5" customFormat="1" x14ac:dyDescent="0.25">
      <c r="B90" t="s">
        <v>13</v>
      </c>
      <c r="C90" t="s">
        <v>223</v>
      </c>
      <c r="D90" t="s">
        <v>231</v>
      </c>
      <c r="E90" t="s">
        <v>509</v>
      </c>
    </row>
    <row r="91" spans="2:5" customFormat="1" x14ac:dyDescent="0.25">
      <c r="B91" t="s">
        <v>13</v>
      </c>
      <c r="C91" t="s">
        <v>227</v>
      </c>
      <c r="D91" t="s">
        <v>45</v>
      </c>
      <c r="E91" t="s">
        <v>510</v>
      </c>
    </row>
    <row r="92" spans="2:5" customFormat="1" x14ac:dyDescent="0.25">
      <c r="B92" t="s">
        <v>13</v>
      </c>
      <c r="C92" t="s">
        <v>247</v>
      </c>
      <c r="D92" t="s">
        <v>175</v>
      </c>
      <c r="E92" t="s">
        <v>511</v>
      </c>
    </row>
    <row r="93" spans="2:5" customFormat="1" x14ac:dyDescent="0.25">
      <c r="B93" t="s">
        <v>11</v>
      </c>
      <c r="C93" t="s">
        <v>4</v>
      </c>
      <c r="D93" t="s">
        <v>506</v>
      </c>
      <c r="E93" t="s">
        <v>526</v>
      </c>
    </row>
    <row r="94" spans="2:5" x14ac:dyDescent="0.25">
      <c r="B94" s="51" t="s">
        <v>11</v>
      </c>
      <c r="C94" s="51" t="s">
        <v>225</v>
      </c>
      <c r="D94" s="51" t="s">
        <v>44</v>
      </c>
      <c r="E94" s="51" t="s">
        <v>527</v>
      </c>
    </row>
    <row r="95" spans="2:5" customFormat="1" x14ac:dyDescent="0.25">
      <c r="B95" t="s">
        <v>11</v>
      </c>
      <c r="C95" t="s">
        <v>223</v>
      </c>
      <c r="D95" t="s">
        <v>231</v>
      </c>
      <c r="E95" t="s">
        <v>509</v>
      </c>
    </row>
    <row r="96" spans="2:5" customFormat="1" x14ac:dyDescent="0.25">
      <c r="B96" t="s">
        <v>11</v>
      </c>
      <c r="C96" t="s">
        <v>227</v>
      </c>
      <c r="D96" t="s">
        <v>45</v>
      </c>
      <c r="E96" t="s">
        <v>510</v>
      </c>
    </row>
    <row r="97" spans="2:5" customFormat="1" x14ac:dyDescent="0.25">
      <c r="B97" t="s">
        <v>11</v>
      </c>
      <c r="C97" t="s">
        <v>247</v>
      </c>
      <c r="D97" t="s">
        <v>175</v>
      </c>
      <c r="E97" t="s">
        <v>511</v>
      </c>
    </row>
    <row r="98" spans="2:5" customFormat="1" x14ac:dyDescent="0.25">
      <c r="B98" t="s">
        <v>265</v>
      </c>
      <c r="C98" t="s">
        <v>4</v>
      </c>
      <c r="D98" t="s">
        <v>506</v>
      </c>
      <c r="E98" t="s">
        <v>507</v>
      </c>
    </row>
    <row r="99" spans="2:5" x14ac:dyDescent="0.25">
      <c r="B99" s="51" t="s">
        <v>265</v>
      </c>
      <c r="C99" s="51" t="s">
        <v>225</v>
      </c>
      <c r="D99" s="51" t="s">
        <v>44</v>
      </c>
      <c r="E99" s="51" t="s">
        <v>508</v>
      </c>
    </row>
    <row r="100" spans="2:5" customFormat="1" x14ac:dyDescent="0.25">
      <c r="B100" t="s">
        <v>265</v>
      </c>
      <c r="C100" t="s">
        <v>223</v>
      </c>
      <c r="D100" t="s">
        <v>231</v>
      </c>
      <c r="E100" t="s">
        <v>509</v>
      </c>
    </row>
    <row r="101" spans="2:5" customFormat="1" x14ac:dyDescent="0.25">
      <c r="B101" t="s">
        <v>265</v>
      </c>
      <c r="C101" t="s">
        <v>227</v>
      </c>
      <c r="D101" t="s">
        <v>45</v>
      </c>
      <c r="E101" t="s">
        <v>510</v>
      </c>
    </row>
    <row r="102" spans="2:5" customFormat="1" x14ac:dyDescent="0.25">
      <c r="B102" t="s">
        <v>265</v>
      </c>
      <c r="C102" t="s">
        <v>247</v>
      </c>
      <c r="D102" t="s">
        <v>175</v>
      </c>
      <c r="E102" t="s">
        <v>511</v>
      </c>
    </row>
    <row r="103" spans="2:5" customFormat="1" x14ac:dyDescent="0.25">
      <c r="B103" t="s">
        <v>395</v>
      </c>
      <c r="C103" t="s">
        <v>4</v>
      </c>
      <c r="D103" t="s">
        <v>506</v>
      </c>
      <c r="E103" t="s">
        <v>528</v>
      </c>
    </row>
    <row r="104" spans="2:5" x14ac:dyDescent="0.25">
      <c r="B104" s="51" t="s">
        <v>395</v>
      </c>
      <c r="C104" s="51" t="s">
        <v>225</v>
      </c>
      <c r="D104" s="51" t="s">
        <v>44</v>
      </c>
      <c r="E104" s="51" t="s">
        <v>508</v>
      </c>
    </row>
    <row r="105" spans="2:5" customFormat="1" x14ac:dyDescent="0.25">
      <c r="B105" t="s">
        <v>395</v>
      </c>
      <c r="C105" t="s">
        <v>223</v>
      </c>
      <c r="D105" t="s">
        <v>231</v>
      </c>
      <c r="E105" t="s">
        <v>509</v>
      </c>
    </row>
    <row r="106" spans="2:5" customFormat="1" x14ac:dyDescent="0.25">
      <c r="B106" t="s">
        <v>395</v>
      </c>
      <c r="C106" t="s">
        <v>227</v>
      </c>
      <c r="D106" t="s">
        <v>45</v>
      </c>
      <c r="E106" t="s">
        <v>510</v>
      </c>
    </row>
    <row r="107" spans="2:5" customFormat="1" x14ac:dyDescent="0.25">
      <c r="B107" t="s">
        <v>395</v>
      </c>
      <c r="C107" t="s">
        <v>247</v>
      </c>
      <c r="D107" t="s">
        <v>175</v>
      </c>
      <c r="E107" t="s">
        <v>511</v>
      </c>
    </row>
    <row r="108" spans="2:5" customFormat="1" x14ac:dyDescent="0.25">
      <c r="B108" t="s">
        <v>12</v>
      </c>
      <c r="C108" t="s">
        <v>4</v>
      </c>
      <c r="D108" t="s">
        <v>506</v>
      </c>
      <c r="E108" t="s">
        <v>528</v>
      </c>
    </row>
    <row r="109" spans="2:5" x14ac:dyDescent="0.25">
      <c r="B109" s="51" t="s">
        <v>12</v>
      </c>
      <c r="C109" s="51" t="s">
        <v>225</v>
      </c>
      <c r="D109" s="51" t="s">
        <v>44</v>
      </c>
      <c r="E109" s="51" t="s">
        <v>508</v>
      </c>
    </row>
    <row r="110" spans="2:5" customFormat="1" x14ac:dyDescent="0.25">
      <c r="B110" t="s">
        <v>12</v>
      </c>
      <c r="C110" t="s">
        <v>223</v>
      </c>
      <c r="D110" t="s">
        <v>231</v>
      </c>
      <c r="E110" t="s">
        <v>509</v>
      </c>
    </row>
    <row r="111" spans="2:5" customFormat="1" x14ac:dyDescent="0.25">
      <c r="B111" t="s">
        <v>12</v>
      </c>
      <c r="C111" t="s">
        <v>227</v>
      </c>
      <c r="D111" t="s">
        <v>45</v>
      </c>
      <c r="E111" t="s">
        <v>510</v>
      </c>
    </row>
    <row r="112" spans="2:5" customFormat="1" x14ac:dyDescent="0.25">
      <c r="B112" t="s">
        <v>12</v>
      </c>
      <c r="C112" t="s">
        <v>247</v>
      </c>
      <c r="D112" t="s">
        <v>175</v>
      </c>
      <c r="E112" t="s">
        <v>511</v>
      </c>
    </row>
    <row r="113" spans="2:5" customFormat="1" x14ac:dyDescent="0.25">
      <c r="B113" t="s">
        <v>268</v>
      </c>
      <c r="C113" t="s">
        <v>4</v>
      </c>
      <c r="D113" t="s">
        <v>287</v>
      </c>
      <c r="E113" t="s">
        <v>529</v>
      </c>
    </row>
    <row r="114" spans="2:5" x14ac:dyDescent="0.25">
      <c r="B114" s="51" t="s">
        <v>268</v>
      </c>
      <c r="C114" s="51" t="s">
        <v>225</v>
      </c>
      <c r="D114" s="51" t="s">
        <v>287</v>
      </c>
      <c r="E114" s="51" t="s">
        <v>530</v>
      </c>
    </row>
    <row r="115" spans="2:5" customFormat="1" x14ac:dyDescent="0.25">
      <c r="B115" t="s">
        <v>268</v>
      </c>
      <c r="C115" t="s">
        <v>223</v>
      </c>
      <c r="D115" t="s">
        <v>287</v>
      </c>
      <c r="E115" t="s">
        <v>529</v>
      </c>
    </row>
    <row r="116" spans="2:5" customFormat="1" x14ac:dyDescent="0.25">
      <c r="B116" t="s">
        <v>268</v>
      </c>
      <c r="C116" t="s">
        <v>227</v>
      </c>
      <c r="D116" t="s">
        <v>287</v>
      </c>
      <c r="E116" t="s">
        <v>529</v>
      </c>
    </row>
    <row r="117" spans="2:5" customFormat="1" x14ac:dyDescent="0.25">
      <c r="B117" t="s">
        <v>268</v>
      </c>
      <c r="C117" t="s">
        <v>247</v>
      </c>
      <c r="D117" t="s">
        <v>287</v>
      </c>
      <c r="E117" t="s">
        <v>529</v>
      </c>
    </row>
    <row r="118" spans="2:5" customFormat="1" x14ac:dyDescent="0.25">
      <c r="B118" t="s">
        <v>267</v>
      </c>
      <c r="C118" t="s">
        <v>4</v>
      </c>
      <c r="D118" t="s">
        <v>287</v>
      </c>
      <c r="E118" t="s">
        <v>529</v>
      </c>
    </row>
    <row r="119" spans="2:5" x14ac:dyDescent="0.25">
      <c r="B119" s="51" t="s">
        <v>267</v>
      </c>
      <c r="C119" s="51" t="s">
        <v>225</v>
      </c>
      <c r="D119" s="51" t="s">
        <v>287</v>
      </c>
      <c r="E119" s="51" t="s">
        <v>530</v>
      </c>
    </row>
    <row r="120" spans="2:5" customFormat="1" x14ac:dyDescent="0.25">
      <c r="B120" t="s">
        <v>267</v>
      </c>
      <c r="C120" t="s">
        <v>223</v>
      </c>
      <c r="D120" t="s">
        <v>287</v>
      </c>
      <c r="E120" t="s">
        <v>529</v>
      </c>
    </row>
    <row r="121" spans="2:5" customFormat="1" x14ac:dyDescent="0.25">
      <c r="B121" t="s">
        <v>267</v>
      </c>
      <c r="C121" t="s">
        <v>227</v>
      </c>
      <c r="D121" t="s">
        <v>287</v>
      </c>
      <c r="E121" t="s">
        <v>529</v>
      </c>
    </row>
    <row r="122" spans="2:5" customFormat="1" x14ac:dyDescent="0.25">
      <c r="B122" t="s">
        <v>267</v>
      </c>
      <c r="C122" t="s">
        <v>247</v>
      </c>
      <c r="D122" t="s">
        <v>287</v>
      </c>
      <c r="E122" t="s">
        <v>529</v>
      </c>
    </row>
    <row r="123" spans="2:5" customFormat="1" x14ac:dyDescent="0.25">
      <c r="B123" t="s">
        <v>8</v>
      </c>
      <c r="C123" t="s">
        <v>4</v>
      </c>
      <c r="D123" t="s">
        <v>175</v>
      </c>
      <c r="E123" t="s">
        <v>531</v>
      </c>
    </row>
    <row r="124" spans="2:5" x14ac:dyDescent="0.25">
      <c r="B124" s="51" t="s">
        <v>8</v>
      </c>
      <c r="C124" s="51" t="s">
        <v>225</v>
      </c>
      <c r="D124" s="51" t="s">
        <v>175</v>
      </c>
      <c r="E124" s="51" t="s">
        <v>531</v>
      </c>
    </row>
    <row r="125" spans="2:5" customFormat="1" x14ac:dyDescent="0.25">
      <c r="B125" t="s">
        <v>8</v>
      </c>
      <c r="C125" t="s">
        <v>223</v>
      </c>
      <c r="D125" t="s">
        <v>175</v>
      </c>
      <c r="E125" t="s">
        <v>531</v>
      </c>
    </row>
    <row r="126" spans="2:5" customFormat="1" x14ac:dyDescent="0.25">
      <c r="B126" t="s">
        <v>8</v>
      </c>
      <c r="C126" t="s">
        <v>227</v>
      </c>
      <c r="D126" t="s">
        <v>175</v>
      </c>
      <c r="E126" t="s">
        <v>531</v>
      </c>
    </row>
    <row r="127" spans="2:5" customFormat="1" x14ac:dyDescent="0.25">
      <c r="B127" t="s">
        <v>8</v>
      </c>
      <c r="C127" t="s">
        <v>247</v>
      </c>
      <c r="D127" t="s">
        <v>175</v>
      </c>
      <c r="E127" t="s">
        <v>531</v>
      </c>
    </row>
    <row r="128" spans="2:5" customFormat="1" x14ac:dyDescent="0.25">
      <c r="B128" t="s">
        <v>7</v>
      </c>
      <c r="C128" t="s">
        <v>4</v>
      </c>
      <c r="D128" t="s">
        <v>173</v>
      </c>
      <c r="E128" t="s">
        <v>532</v>
      </c>
    </row>
    <row r="129" spans="2:5" x14ac:dyDescent="0.25">
      <c r="B129" s="51" t="s">
        <v>7</v>
      </c>
      <c r="C129" s="51" t="s">
        <v>225</v>
      </c>
      <c r="D129" s="51" t="s">
        <v>173</v>
      </c>
      <c r="E129" s="51" t="s">
        <v>532</v>
      </c>
    </row>
    <row r="130" spans="2:5" customFormat="1" x14ac:dyDescent="0.25">
      <c r="B130" t="s">
        <v>7</v>
      </c>
      <c r="C130" t="s">
        <v>223</v>
      </c>
      <c r="D130" t="s">
        <v>173</v>
      </c>
      <c r="E130" t="s">
        <v>532</v>
      </c>
    </row>
    <row r="131" spans="2:5" customFormat="1" x14ac:dyDescent="0.25">
      <c r="B131" t="s">
        <v>7</v>
      </c>
      <c r="C131" t="s">
        <v>227</v>
      </c>
      <c r="D131" t="s">
        <v>173</v>
      </c>
      <c r="E131" t="s">
        <v>532</v>
      </c>
    </row>
    <row r="132" spans="2:5" customFormat="1" x14ac:dyDescent="0.25">
      <c r="B132" t="s">
        <v>7</v>
      </c>
      <c r="C132" t="s">
        <v>247</v>
      </c>
      <c r="D132" t="s">
        <v>173</v>
      </c>
      <c r="E132" t="s">
        <v>532</v>
      </c>
    </row>
    <row r="133" spans="2:5" customFormat="1" x14ac:dyDescent="0.25">
      <c r="B133" t="s">
        <v>167</v>
      </c>
      <c r="C133" t="s">
        <v>4</v>
      </c>
      <c r="D133" t="s">
        <v>166</v>
      </c>
      <c r="E133" t="s">
        <v>533</v>
      </c>
    </row>
    <row r="134" spans="2:5" x14ac:dyDescent="0.25">
      <c r="B134" s="51" t="s">
        <v>167</v>
      </c>
      <c r="C134" s="51" t="s">
        <v>225</v>
      </c>
      <c r="D134" s="51" t="s">
        <v>166</v>
      </c>
      <c r="E134" s="51" t="s">
        <v>533</v>
      </c>
    </row>
    <row r="135" spans="2:5" customFormat="1" x14ac:dyDescent="0.25">
      <c r="B135" t="s">
        <v>167</v>
      </c>
      <c r="C135" t="s">
        <v>223</v>
      </c>
      <c r="D135" t="s">
        <v>166</v>
      </c>
      <c r="E135" t="s">
        <v>533</v>
      </c>
    </row>
    <row r="136" spans="2:5" customFormat="1" x14ac:dyDescent="0.25">
      <c r="B136" t="s">
        <v>167</v>
      </c>
      <c r="C136" t="s">
        <v>227</v>
      </c>
      <c r="D136" t="s">
        <v>166</v>
      </c>
      <c r="E136" t="s">
        <v>533</v>
      </c>
    </row>
    <row r="137" spans="2:5" customFormat="1" x14ac:dyDescent="0.25">
      <c r="B137" t="s">
        <v>167</v>
      </c>
      <c r="C137" t="s">
        <v>247</v>
      </c>
      <c r="D137" t="s">
        <v>166</v>
      </c>
      <c r="E137" t="s">
        <v>533</v>
      </c>
    </row>
    <row r="138" spans="2:5" customFormat="1" x14ac:dyDescent="0.25">
      <c r="B138" t="s">
        <v>455</v>
      </c>
      <c r="C138" t="s">
        <v>4</v>
      </c>
      <c r="D138" t="s">
        <v>166</v>
      </c>
      <c r="E138" t="s">
        <v>534</v>
      </c>
    </row>
    <row r="139" spans="2:5" x14ac:dyDescent="0.25">
      <c r="B139" s="51" t="s">
        <v>455</v>
      </c>
      <c r="C139" s="51" t="s">
        <v>225</v>
      </c>
      <c r="D139" s="51" t="s">
        <v>166</v>
      </c>
      <c r="E139" s="51" t="s">
        <v>534</v>
      </c>
    </row>
    <row r="140" spans="2:5" customFormat="1" x14ac:dyDescent="0.25">
      <c r="B140" t="s">
        <v>455</v>
      </c>
      <c r="C140" t="s">
        <v>223</v>
      </c>
      <c r="D140" t="s">
        <v>166</v>
      </c>
      <c r="E140" t="s">
        <v>534</v>
      </c>
    </row>
    <row r="141" spans="2:5" customFormat="1" x14ac:dyDescent="0.25">
      <c r="B141" t="s">
        <v>455</v>
      </c>
      <c r="C141" t="s">
        <v>227</v>
      </c>
      <c r="D141" t="s">
        <v>166</v>
      </c>
      <c r="E141" t="s">
        <v>534</v>
      </c>
    </row>
    <row r="142" spans="2:5" customFormat="1" x14ac:dyDescent="0.25">
      <c r="B142" t="s">
        <v>455</v>
      </c>
      <c r="C142" t="s">
        <v>247</v>
      </c>
      <c r="D142" t="s">
        <v>166</v>
      </c>
      <c r="E142" t="s">
        <v>534</v>
      </c>
    </row>
    <row r="143" spans="2:5" customFormat="1" x14ac:dyDescent="0.25">
      <c r="B143" t="s">
        <v>6</v>
      </c>
      <c r="C143" t="s">
        <v>4</v>
      </c>
      <c r="D143" t="s">
        <v>398</v>
      </c>
      <c r="E143" t="s">
        <v>535</v>
      </c>
    </row>
    <row r="144" spans="2:5" x14ac:dyDescent="0.25">
      <c r="B144" s="51" t="s">
        <v>6</v>
      </c>
      <c r="C144" s="51" t="s">
        <v>225</v>
      </c>
      <c r="D144" s="51" t="s">
        <v>176</v>
      </c>
      <c r="E144" s="51" t="s">
        <v>536</v>
      </c>
    </row>
    <row r="145" spans="2:5" customFormat="1" x14ac:dyDescent="0.25">
      <c r="B145" t="s">
        <v>6</v>
      </c>
      <c r="C145" t="s">
        <v>223</v>
      </c>
      <c r="D145" t="s">
        <v>176</v>
      </c>
      <c r="E145" t="s">
        <v>536</v>
      </c>
    </row>
    <row r="146" spans="2:5" customFormat="1" x14ac:dyDescent="0.25">
      <c r="B146" t="s">
        <v>6</v>
      </c>
      <c r="C146" t="s">
        <v>227</v>
      </c>
      <c r="D146" t="s">
        <v>176</v>
      </c>
      <c r="E146" t="s">
        <v>536</v>
      </c>
    </row>
    <row r="147" spans="2:5" customFormat="1" x14ac:dyDescent="0.25">
      <c r="B147" t="s">
        <v>6</v>
      </c>
      <c r="C147" t="s">
        <v>247</v>
      </c>
      <c r="D147" t="s">
        <v>176</v>
      </c>
      <c r="E147" t="s">
        <v>536</v>
      </c>
    </row>
    <row r="148" spans="2:5" customFormat="1" x14ac:dyDescent="0.25">
      <c r="B148" t="s">
        <v>453</v>
      </c>
      <c r="C148" t="s">
        <v>4</v>
      </c>
      <c r="D148" t="s">
        <v>176</v>
      </c>
      <c r="E148" t="s">
        <v>536</v>
      </c>
    </row>
    <row r="149" spans="2:5" x14ac:dyDescent="0.25">
      <c r="B149" s="51" t="s">
        <v>453</v>
      </c>
      <c r="C149" s="51" t="s">
        <v>225</v>
      </c>
      <c r="D149" s="51" t="s">
        <v>176</v>
      </c>
      <c r="E149" s="51" t="s">
        <v>536</v>
      </c>
    </row>
    <row r="150" spans="2:5" customFormat="1" x14ac:dyDescent="0.25">
      <c r="B150" t="s">
        <v>453</v>
      </c>
      <c r="C150" t="s">
        <v>223</v>
      </c>
      <c r="D150" t="s">
        <v>176</v>
      </c>
      <c r="E150" t="s">
        <v>536</v>
      </c>
    </row>
    <row r="151" spans="2:5" customFormat="1" x14ac:dyDescent="0.25">
      <c r="B151" t="s">
        <v>453</v>
      </c>
      <c r="C151" t="s">
        <v>227</v>
      </c>
      <c r="D151" t="s">
        <v>176</v>
      </c>
      <c r="E151" t="s">
        <v>536</v>
      </c>
    </row>
    <row r="152" spans="2:5" customFormat="1" x14ac:dyDescent="0.25">
      <c r="B152" t="s">
        <v>453</v>
      </c>
      <c r="C152" t="s">
        <v>247</v>
      </c>
      <c r="D152" t="s">
        <v>176</v>
      </c>
      <c r="E152" t="s">
        <v>536</v>
      </c>
    </row>
    <row r="153" spans="2:5" customFormat="1" x14ac:dyDescent="0.25">
      <c r="B153" t="s">
        <v>5</v>
      </c>
      <c r="C153" t="s">
        <v>4</v>
      </c>
      <c r="D153" t="s">
        <v>176</v>
      </c>
      <c r="E153" t="s">
        <v>536</v>
      </c>
    </row>
    <row r="154" spans="2:5" x14ac:dyDescent="0.25">
      <c r="B154" s="51" t="s">
        <v>5</v>
      </c>
      <c r="C154" s="51" t="s">
        <v>225</v>
      </c>
      <c r="D154" s="51" t="s">
        <v>400</v>
      </c>
      <c r="E154" s="51" t="s">
        <v>537</v>
      </c>
    </row>
    <row r="155" spans="2:5" customFormat="1" x14ac:dyDescent="0.25">
      <c r="B155" t="s">
        <v>5</v>
      </c>
      <c r="C155" t="s">
        <v>223</v>
      </c>
      <c r="D155" t="s">
        <v>176</v>
      </c>
      <c r="E155" t="s">
        <v>536</v>
      </c>
    </row>
    <row r="156" spans="2:5" customFormat="1" x14ac:dyDescent="0.25">
      <c r="B156" t="s">
        <v>5</v>
      </c>
      <c r="C156" t="s">
        <v>227</v>
      </c>
      <c r="D156" t="s">
        <v>176</v>
      </c>
      <c r="E156" t="s">
        <v>536</v>
      </c>
    </row>
    <row r="157" spans="2:5" customFormat="1" x14ac:dyDescent="0.25">
      <c r="B157" t="s">
        <v>5</v>
      </c>
      <c r="C157" t="s">
        <v>247</v>
      </c>
      <c r="D157" t="s">
        <v>176</v>
      </c>
      <c r="E157" t="s">
        <v>536</v>
      </c>
    </row>
    <row r="158" spans="2:5" customFormat="1" x14ac:dyDescent="0.25">
      <c r="B158" t="s">
        <v>248</v>
      </c>
      <c r="C158" t="s">
        <v>4</v>
      </c>
      <c r="D158" t="s">
        <v>176</v>
      </c>
      <c r="E158" t="s">
        <v>536</v>
      </c>
    </row>
    <row r="159" spans="2:5" x14ac:dyDescent="0.25">
      <c r="B159" s="51" t="s">
        <v>248</v>
      </c>
      <c r="C159" s="51" t="s">
        <v>225</v>
      </c>
      <c r="D159" s="51" t="s">
        <v>400</v>
      </c>
      <c r="E159" s="51" t="s">
        <v>538</v>
      </c>
    </row>
    <row r="160" spans="2:5" customFormat="1" x14ac:dyDescent="0.25">
      <c r="B160" t="s">
        <v>248</v>
      </c>
      <c r="C160" t="s">
        <v>223</v>
      </c>
      <c r="D160" t="s">
        <v>176</v>
      </c>
      <c r="E160" t="s">
        <v>536</v>
      </c>
    </row>
    <row r="161" spans="2:5" customFormat="1" x14ac:dyDescent="0.25">
      <c r="B161" t="s">
        <v>248</v>
      </c>
      <c r="C161" t="s">
        <v>227</v>
      </c>
      <c r="D161" t="s">
        <v>176</v>
      </c>
      <c r="E161" t="s">
        <v>536</v>
      </c>
    </row>
    <row r="162" spans="2:5" customFormat="1" x14ac:dyDescent="0.25">
      <c r="B162" t="s">
        <v>248</v>
      </c>
      <c r="C162" t="s">
        <v>247</v>
      </c>
      <c r="D162" t="s">
        <v>176</v>
      </c>
      <c r="E162" t="s">
        <v>536</v>
      </c>
    </row>
    <row r="163" spans="2:5" customFormat="1" x14ac:dyDescent="0.25">
      <c r="B163" t="s">
        <v>249</v>
      </c>
      <c r="C163" t="s">
        <v>4</v>
      </c>
      <c r="D163" t="s">
        <v>176</v>
      </c>
      <c r="E163" t="s">
        <v>536</v>
      </c>
    </row>
    <row r="164" spans="2:5" x14ac:dyDescent="0.25">
      <c r="B164" s="51" t="s">
        <v>249</v>
      </c>
      <c r="C164" s="51" t="s">
        <v>225</v>
      </c>
      <c r="D164" s="51" t="s">
        <v>176</v>
      </c>
      <c r="E164" s="51" t="s">
        <v>536</v>
      </c>
    </row>
    <row r="165" spans="2:5" customFormat="1" x14ac:dyDescent="0.25">
      <c r="B165" t="s">
        <v>249</v>
      </c>
      <c r="C165" t="s">
        <v>223</v>
      </c>
      <c r="D165" t="s">
        <v>176</v>
      </c>
      <c r="E165" t="s">
        <v>536</v>
      </c>
    </row>
    <row r="166" spans="2:5" customFormat="1" x14ac:dyDescent="0.25">
      <c r="B166" t="s">
        <v>249</v>
      </c>
      <c r="C166" t="s">
        <v>227</v>
      </c>
      <c r="D166" t="s">
        <v>176</v>
      </c>
      <c r="E166" t="s">
        <v>536</v>
      </c>
    </row>
    <row r="167" spans="2:5" customFormat="1" x14ac:dyDescent="0.25">
      <c r="B167" t="s">
        <v>249</v>
      </c>
      <c r="C167" t="s">
        <v>247</v>
      </c>
      <c r="D167" t="s">
        <v>176</v>
      </c>
      <c r="E167" t="s">
        <v>536</v>
      </c>
    </row>
    <row r="168" spans="2:5" customFormat="1" x14ac:dyDescent="0.25">
      <c r="B168" t="s">
        <v>250</v>
      </c>
      <c r="C168" t="s">
        <v>4</v>
      </c>
      <c r="D168" t="s">
        <v>176</v>
      </c>
      <c r="E168" t="s">
        <v>536</v>
      </c>
    </row>
    <row r="169" spans="2:5" x14ac:dyDescent="0.25">
      <c r="B169" s="51" t="s">
        <v>250</v>
      </c>
      <c r="C169" s="51" t="s">
        <v>225</v>
      </c>
      <c r="D169" s="51" t="s">
        <v>176</v>
      </c>
      <c r="E169" s="51" t="s">
        <v>536</v>
      </c>
    </row>
    <row r="170" spans="2:5" customFormat="1" x14ac:dyDescent="0.25">
      <c r="B170" t="s">
        <v>250</v>
      </c>
      <c r="C170" t="s">
        <v>223</v>
      </c>
      <c r="D170" t="s">
        <v>176</v>
      </c>
      <c r="E170" t="s">
        <v>536</v>
      </c>
    </row>
    <row r="171" spans="2:5" customFormat="1" x14ac:dyDescent="0.25">
      <c r="B171" t="s">
        <v>250</v>
      </c>
      <c r="C171" t="s">
        <v>227</v>
      </c>
      <c r="D171" t="s">
        <v>176</v>
      </c>
      <c r="E171" t="s">
        <v>536</v>
      </c>
    </row>
    <row r="172" spans="2:5" customFormat="1" x14ac:dyDescent="0.25">
      <c r="B172" t="s">
        <v>250</v>
      </c>
      <c r="C172" t="s">
        <v>247</v>
      </c>
      <c r="D172" t="s">
        <v>176</v>
      </c>
      <c r="E172" t="s">
        <v>536</v>
      </c>
    </row>
    <row r="173" spans="2:5" customFormat="1" x14ac:dyDescent="0.25">
      <c r="B173" t="s">
        <v>451</v>
      </c>
      <c r="C173" t="s">
        <v>4</v>
      </c>
      <c r="D173" t="s">
        <v>176</v>
      </c>
      <c r="E173" t="s">
        <v>536</v>
      </c>
    </row>
    <row r="174" spans="2:5" x14ac:dyDescent="0.25">
      <c r="B174" s="51" t="s">
        <v>451</v>
      </c>
      <c r="C174" s="51" t="s">
        <v>225</v>
      </c>
      <c r="D174" s="51" t="s">
        <v>176</v>
      </c>
      <c r="E174" s="51" t="s">
        <v>536</v>
      </c>
    </row>
    <row r="175" spans="2:5" customFormat="1" x14ac:dyDescent="0.25">
      <c r="B175" t="s">
        <v>451</v>
      </c>
      <c r="C175" t="s">
        <v>223</v>
      </c>
      <c r="D175" t="s">
        <v>176</v>
      </c>
      <c r="E175" t="s">
        <v>536</v>
      </c>
    </row>
    <row r="176" spans="2:5" customFormat="1" x14ac:dyDescent="0.25">
      <c r="B176" t="s">
        <v>451</v>
      </c>
      <c r="C176" t="s">
        <v>227</v>
      </c>
      <c r="D176" t="s">
        <v>176</v>
      </c>
      <c r="E176" t="s">
        <v>536</v>
      </c>
    </row>
    <row r="177" spans="2:5" customFormat="1" x14ac:dyDescent="0.25">
      <c r="B177" t="s">
        <v>451</v>
      </c>
      <c r="C177" t="s">
        <v>247</v>
      </c>
      <c r="D177" t="s">
        <v>176</v>
      </c>
      <c r="E177" t="s">
        <v>536</v>
      </c>
    </row>
    <row r="178" spans="2:5" customFormat="1" x14ac:dyDescent="0.25">
      <c r="B178" t="s">
        <v>251</v>
      </c>
      <c r="C178" t="s">
        <v>4</v>
      </c>
      <c r="D178" t="s">
        <v>176</v>
      </c>
      <c r="E178" t="s">
        <v>536</v>
      </c>
    </row>
    <row r="179" spans="2:5" x14ac:dyDescent="0.25">
      <c r="B179" s="51" t="s">
        <v>251</v>
      </c>
      <c r="C179" s="51" t="s">
        <v>225</v>
      </c>
      <c r="D179" s="51" t="s">
        <v>176</v>
      </c>
      <c r="E179" s="51" t="s">
        <v>536</v>
      </c>
    </row>
    <row r="180" spans="2:5" customFormat="1" x14ac:dyDescent="0.25">
      <c r="B180" t="s">
        <v>251</v>
      </c>
      <c r="C180" t="s">
        <v>223</v>
      </c>
      <c r="D180" t="s">
        <v>176</v>
      </c>
      <c r="E180" t="s">
        <v>536</v>
      </c>
    </row>
    <row r="181" spans="2:5" customFormat="1" x14ac:dyDescent="0.25">
      <c r="B181" t="s">
        <v>251</v>
      </c>
      <c r="C181" t="s">
        <v>227</v>
      </c>
      <c r="D181" t="s">
        <v>176</v>
      </c>
      <c r="E181" t="s">
        <v>536</v>
      </c>
    </row>
    <row r="182" spans="2:5" customFormat="1" x14ac:dyDescent="0.25">
      <c r="B182" t="s">
        <v>251</v>
      </c>
      <c r="C182" t="s">
        <v>247</v>
      </c>
      <c r="D182" t="s">
        <v>176</v>
      </c>
      <c r="E182" t="s">
        <v>536</v>
      </c>
    </row>
    <row r="183" spans="2:5" customFormat="1" x14ac:dyDescent="0.25">
      <c r="B183" t="s">
        <v>447</v>
      </c>
      <c r="C183" t="s">
        <v>4</v>
      </c>
      <c r="D183" t="s">
        <v>176</v>
      </c>
      <c r="E183" t="s">
        <v>536</v>
      </c>
    </row>
    <row r="184" spans="2:5" x14ac:dyDescent="0.25">
      <c r="B184" s="51" t="s">
        <v>447</v>
      </c>
      <c r="C184" s="51" t="s">
        <v>225</v>
      </c>
      <c r="D184" s="51" t="s">
        <v>176</v>
      </c>
      <c r="E184" s="51" t="s">
        <v>536</v>
      </c>
    </row>
    <row r="185" spans="2:5" customFormat="1" x14ac:dyDescent="0.25">
      <c r="B185" t="s">
        <v>447</v>
      </c>
      <c r="C185" t="s">
        <v>223</v>
      </c>
      <c r="D185" t="s">
        <v>176</v>
      </c>
      <c r="E185" t="s">
        <v>536</v>
      </c>
    </row>
    <row r="186" spans="2:5" customFormat="1" x14ac:dyDescent="0.25">
      <c r="B186" t="s">
        <v>447</v>
      </c>
      <c r="C186" t="s">
        <v>227</v>
      </c>
      <c r="D186" t="s">
        <v>176</v>
      </c>
      <c r="E186" t="s">
        <v>536</v>
      </c>
    </row>
    <row r="187" spans="2:5" customFormat="1" x14ac:dyDescent="0.25">
      <c r="B187" t="s">
        <v>447</v>
      </c>
      <c r="C187" t="s">
        <v>247</v>
      </c>
      <c r="D187" t="s">
        <v>176</v>
      </c>
      <c r="E187" t="s">
        <v>536</v>
      </c>
    </row>
    <row r="188" spans="2:5" customFormat="1" x14ac:dyDescent="0.25">
      <c r="B188" t="s">
        <v>269</v>
      </c>
      <c r="C188" t="s">
        <v>4</v>
      </c>
      <c r="D188" t="s">
        <v>176</v>
      </c>
      <c r="E188" t="s">
        <v>536</v>
      </c>
    </row>
    <row r="189" spans="2:5" x14ac:dyDescent="0.25">
      <c r="B189" s="51" t="s">
        <v>269</v>
      </c>
      <c r="C189" s="51" t="s">
        <v>225</v>
      </c>
      <c r="D189" s="51" t="s">
        <v>176</v>
      </c>
      <c r="E189" s="51" t="s">
        <v>536</v>
      </c>
    </row>
    <row r="190" spans="2:5" customFormat="1" x14ac:dyDescent="0.25">
      <c r="B190" t="s">
        <v>269</v>
      </c>
      <c r="C190" t="s">
        <v>223</v>
      </c>
      <c r="D190" t="s">
        <v>176</v>
      </c>
      <c r="E190" t="s">
        <v>536</v>
      </c>
    </row>
    <row r="191" spans="2:5" customFormat="1" x14ac:dyDescent="0.25">
      <c r="B191" t="s">
        <v>269</v>
      </c>
      <c r="C191" t="s">
        <v>227</v>
      </c>
      <c r="D191" t="s">
        <v>176</v>
      </c>
      <c r="E191" t="s">
        <v>536</v>
      </c>
    </row>
    <row r="192" spans="2:5" customFormat="1" x14ac:dyDescent="0.25">
      <c r="B192" t="s">
        <v>269</v>
      </c>
      <c r="C192" t="s">
        <v>247</v>
      </c>
      <c r="D192" t="s">
        <v>176</v>
      </c>
      <c r="E192" t="s">
        <v>536</v>
      </c>
    </row>
    <row r="193" spans="2:5" customFormat="1" x14ac:dyDescent="0.25">
      <c r="B193" t="s">
        <v>456</v>
      </c>
      <c r="C193" t="s">
        <v>4</v>
      </c>
      <c r="D193" t="s">
        <v>176</v>
      </c>
      <c r="E193" t="s">
        <v>536</v>
      </c>
    </row>
    <row r="194" spans="2:5" x14ac:dyDescent="0.25">
      <c r="B194" s="51" t="s">
        <v>456</v>
      </c>
      <c r="C194" s="51" t="s">
        <v>225</v>
      </c>
      <c r="D194" s="51" t="s">
        <v>176</v>
      </c>
      <c r="E194" s="51" t="s">
        <v>536</v>
      </c>
    </row>
    <row r="195" spans="2:5" customFormat="1" x14ac:dyDescent="0.25">
      <c r="B195" t="s">
        <v>456</v>
      </c>
      <c r="C195" t="s">
        <v>223</v>
      </c>
      <c r="D195" t="s">
        <v>176</v>
      </c>
      <c r="E195" t="s">
        <v>536</v>
      </c>
    </row>
    <row r="196" spans="2:5" customFormat="1" x14ac:dyDescent="0.25">
      <c r="B196" t="s">
        <v>456</v>
      </c>
      <c r="C196" t="s">
        <v>227</v>
      </c>
      <c r="D196" t="s">
        <v>176</v>
      </c>
      <c r="E196" t="s">
        <v>536</v>
      </c>
    </row>
    <row r="197" spans="2:5" customFormat="1" x14ac:dyDescent="0.25">
      <c r="B197" t="s">
        <v>456</v>
      </c>
      <c r="C197" t="s">
        <v>247</v>
      </c>
      <c r="D197" t="s">
        <v>176</v>
      </c>
      <c r="E197" t="s">
        <v>536</v>
      </c>
    </row>
    <row r="198" spans="2:5" customFormat="1" x14ac:dyDescent="0.25">
      <c r="B198" t="s">
        <v>15</v>
      </c>
      <c r="C198" t="s">
        <v>4</v>
      </c>
      <c r="D198" t="s">
        <v>176</v>
      </c>
      <c r="E198" t="s">
        <v>539</v>
      </c>
    </row>
    <row r="199" spans="2:5" x14ac:dyDescent="0.25">
      <c r="B199" s="51" t="s">
        <v>15</v>
      </c>
      <c r="C199" s="51" t="s">
        <v>225</v>
      </c>
      <c r="D199" s="51" t="s">
        <v>176</v>
      </c>
      <c r="E199" s="51" t="s">
        <v>539</v>
      </c>
    </row>
    <row r="200" spans="2:5" customFormat="1" x14ac:dyDescent="0.25">
      <c r="B200" t="s">
        <v>15</v>
      </c>
      <c r="C200" t="s">
        <v>223</v>
      </c>
      <c r="D200" t="s">
        <v>176</v>
      </c>
      <c r="E200" t="s">
        <v>539</v>
      </c>
    </row>
    <row r="201" spans="2:5" customFormat="1" x14ac:dyDescent="0.25">
      <c r="B201" t="s">
        <v>15</v>
      </c>
      <c r="C201" t="s">
        <v>227</v>
      </c>
      <c r="D201" t="s">
        <v>176</v>
      </c>
      <c r="E201" t="s">
        <v>539</v>
      </c>
    </row>
    <row r="202" spans="2:5" customFormat="1" x14ac:dyDescent="0.25">
      <c r="B202" t="s">
        <v>15</v>
      </c>
      <c r="C202" t="s">
        <v>247</v>
      </c>
      <c r="D202" t="s">
        <v>176</v>
      </c>
      <c r="E202" t="s">
        <v>539</v>
      </c>
    </row>
    <row r="203" spans="2:5" customFormat="1" x14ac:dyDescent="0.25">
      <c r="B203" t="s">
        <v>262</v>
      </c>
      <c r="C203" t="s">
        <v>4</v>
      </c>
      <c r="D203" t="s">
        <v>506</v>
      </c>
      <c r="E203" t="s">
        <v>507</v>
      </c>
    </row>
    <row r="204" spans="2:5" x14ac:dyDescent="0.25">
      <c r="B204" s="51" t="s">
        <v>262</v>
      </c>
      <c r="C204" s="51" t="s">
        <v>225</v>
      </c>
      <c r="D204" s="51" t="s">
        <v>44</v>
      </c>
      <c r="E204" s="51" t="s">
        <v>508</v>
      </c>
    </row>
    <row r="205" spans="2:5" customFormat="1" x14ac:dyDescent="0.25">
      <c r="B205" t="s">
        <v>262</v>
      </c>
      <c r="C205" t="s">
        <v>223</v>
      </c>
      <c r="D205" t="s">
        <v>231</v>
      </c>
      <c r="E205" t="s">
        <v>509</v>
      </c>
    </row>
    <row r="206" spans="2:5" customFormat="1" x14ac:dyDescent="0.25">
      <c r="B206" t="s">
        <v>262</v>
      </c>
      <c r="C206" t="s">
        <v>227</v>
      </c>
      <c r="D206" t="s">
        <v>45</v>
      </c>
      <c r="E206" t="s">
        <v>510</v>
      </c>
    </row>
    <row r="207" spans="2:5" customFormat="1" x14ac:dyDescent="0.25">
      <c r="B207" t="s">
        <v>262</v>
      </c>
      <c r="C207" t="s">
        <v>247</v>
      </c>
      <c r="D207" t="s">
        <v>176</v>
      </c>
      <c r="E207" t="s">
        <v>540</v>
      </c>
    </row>
    <row r="208" spans="2:5" customFormat="1" x14ac:dyDescent="0.25">
      <c r="B208" t="s">
        <v>264</v>
      </c>
      <c r="C208" t="s">
        <v>4</v>
      </c>
      <c r="D208" t="s">
        <v>506</v>
      </c>
      <c r="E208" t="s">
        <v>507</v>
      </c>
    </row>
    <row r="209" spans="2:5" x14ac:dyDescent="0.25">
      <c r="B209" s="51" t="s">
        <v>264</v>
      </c>
      <c r="C209" s="51" t="s">
        <v>225</v>
      </c>
      <c r="D209" s="51" t="s">
        <v>44</v>
      </c>
      <c r="E209" s="51" t="s">
        <v>508</v>
      </c>
    </row>
    <row r="210" spans="2:5" customFormat="1" x14ac:dyDescent="0.25">
      <c r="B210" t="s">
        <v>264</v>
      </c>
      <c r="C210" t="s">
        <v>223</v>
      </c>
      <c r="D210" t="s">
        <v>231</v>
      </c>
      <c r="E210" t="s">
        <v>509</v>
      </c>
    </row>
    <row r="211" spans="2:5" customFormat="1" x14ac:dyDescent="0.25">
      <c r="B211" t="s">
        <v>264</v>
      </c>
      <c r="C211" t="s">
        <v>227</v>
      </c>
      <c r="D211" t="s">
        <v>45</v>
      </c>
      <c r="E211" t="s">
        <v>510</v>
      </c>
    </row>
    <row r="212" spans="2:5" customFormat="1" x14ac:dyDescent="0.25">
      <c r="B212" t="s">
        <v>264</v>
      </c>
      <c r="C212" t="s">
        <v>247</v>
      </c>
      <c r="D212" t="s">
        <v>176</v>
      </c>
      <c r="E212" t="s">
        <v>540</v>
      </c>
    </row>
    <row r="213" spans="2:5" customFormat="1" x14ac:dyDescent="0.25">
      <c r="B213" t="s">
        <v>258</v>
      </c>
      <c r="C213" t="s">
        <v>4</v>
      </c>
      <c r="D213" t="s">
        <v>506</v>
      </c>
      <c r="E213" t="s">
        <v>507</v>
      </c>
    </row>
    <row r="214" spans="2:5" x14ac:dyDescent="0.25">
      <c r="B214" s="51" t="s">
        <v>258</v>
      </c>
      <c r="C214" s="51" t="s">
        <v>225</v>
      </c>
      <c r="D214" s="51" t="s">
        <v>44</v>
      </c>
      <c r="E214" s="51" t="s">
        <v>508</v>
      </c>
    </row>
    <row r="215" spans="2:5" customFormat="1" x14ac:dyDescent="0.25">
      <c r="B215" t="s">
        <v>258</v>
      </c>
      <c r="C215" t="s">
        <v>223</v>
      </c>
      <c r="D215" t="s">
        <v>231</v>
      </c>
      <c r="E215" t="s">
        <v>509</v>
      </c>
    </row>
    <row r="216" spans="2:5" customFormat="1" x14ac:dyDescent="0.25">
      <c r="B216" t="s">
        <v>258</v>
      </c>
      <c r="C216" t="s">
        <v>227</v>
      </c>
      <c r="D216" t="s">
        <v>45</v>
      </c>
      <c r="E216" t="s">
        <v>510</v>
      </c>
    </row>
    <row r="217" spans="2:5" customFormat="1" x14ac:dyDescent="0.25">
      <c r="B217" t="s">
        <v>258</v>
      </c>
      <c r="C217" t="s">
        <v>247</v>
      </c>
      <c r="D217" t="s">
        <v>176</v>
      </c>
      <c r="E217" t="s">
        <v>540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A53D-CFD8-4D81-AB38-C6C1BA961F75}">
  <sheetPr codeName="Hoja10">
    <tabColor theme="8" tint="0.79998168889431442"/>
  </sheetPr>
  <dimension ref="B2:C21"/>
  <sheetViews>
    <sheetView showGridLines="0" workbookViewId="0">
      <selection activeCell="C18" sqref="C18"/>
    </sheetView>
  </sheetViews>
  <sheetFormatPr baseColWidth="10" defaultColWidth="9.140625" defaultRowHeight="16.5" x14ac:dyDescent="0.3"/>
  <cols>
    <col min="1" max="1" width="5.140625" style="45" customWidth="1"/>
    <col min="2" max="2" width="3.140625" style="45" customWidth="1"/>
    <col min="3" max="3" width="119" style="45" customWidth="1"/>
    <col min="4" max="4" width="3" style="45" customWidth="1"/>
    <col min="5" max="5" width="6.42578125" style="45" customWidth="1"/>
    <col min="6" max="16384" width="9.140625" style="45"/>
  </cols>
  <sheetData>
    <row r="2" spans="3:3" ht="17.25" thickBot="1" x14ac:dyDescent="0.35">
      <c r="C2" s="232" t="s">
        <v>614</v>
      </c>
    </row>
    <row r="3" spans="3:3" x14ac:dyDescent="0.3">
      <c r="C3" s="44"/>
    </row>
    <row r="4" spans="3:3" x14ac:dyDescent="0.3">
      <c r="C4" s="44" t="s">
        <v>615</v>
      </c>
    </row>
    <row r="5" spans="3:3" x14ac:dyDescent="0.3">
      <c r="C5" s="47" t="s">
        <v>616</v>
      </c>
    </row>
    <row r="6" spans="3:3" x14ac:dyDescent="0.3">
      <c r="C6" s="44" t="s">
        <v>617</v>
      </c>
    </row>
    <row r="7" spans="3:3" x14ac:dyDescent="0.3">
      <c r="C7" s="44"/>
    </row>
    <row r="8" spans="3:3" x14ac:dyDescent="0.3">
      <c r="C8" s="44" t="s">
        <v>618</v>
      </c>
    </row>
    <row r="9" spans="3:3" x14ac:dyDescent="0.3">
      <c r="C9" s="48" t="s">
        <v>619</v>
      </c>
    </row>
    <row r="10" spans="3:3" x14ac:dyDescent="0.3">
      <c r="C10" s="44"/>
    </row>
    <row r="11" spans="3:3" x14ac:dyDescent="0.3">
      <c r="C11" s="44"/>
    </row>
    <row r="12" spans="3:3" x14ac:dyDescent="0.3">
      <c r="C12" s="44" t="s">
        <v>620</v>
      </c>
    </row>
    <row r="17" spans="2:3" x14ac:dyDescent="0.3">
      <c r="B17" s="46"/>
      <c r="C17" s="48" t="s">
        <v>621</v>
      </c>
    </row>
    <row r="18" spans="2:3" x14ac:dyDescent="0.3">
      <c r="B18" s="46"/>
      <c r="C18" s="44"/>
    </row>
    <row r="19" spans="2:3" x14ac:dyDescent="0.3">
      <c r="B19" s="46"/>
      <c r="C19" s="44"/>
    </row>
    <row r="20" spans="2:3" x14ac:dyDescent="0.3">
      <c r="B20" s="49"/>
      <c r="C20" s="50"/>
    </row>
    <row r="21" spans="2:3" x14ac:dyDescent="0.3">
      <c r="B21" s="43" t="s">
        <v>622</v>
      </c>
      <c r="C21" s="4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6F0ACD89C14844A927BFB13CC12C77" ma:contentTypeVersion="15" ma:contentTypeDescription="Crear nuevo documento." ma:contentTypeScope="" ma:versionID="696c6b86c1acb2ed8a79341a02d4f33e">
  <xsd:schema xmlns:xsd="http://www.w3.org/2001/XMLSchema" xmlns:xs="http://www.w3.org/2001/XMLSchema" xmlns:p="http://schemas.microsoft.com/office/2006/metadata/properties" xmlns:ns2="e519d449-4242-4e17-a863-265642a1813c" xmlns:ns3="d2c34480-19d9-46fa-84dd-ad7a285e2ee8" targetNamespace="http://schemas.microsoft.com/office/2006/metadata/properties" ma:root="true" ma:fieldsID="e7aebf7e325a05fbf9b904217ba6e44c" ns2:_="" ns3:_="">
    <xsd:import namespace="e519d449-4242-4e17-a863-265642a1813c"/>
    <xsd:import namespace="d2c34480-19d9-46fa-84dd-ad7a285e2ee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9d449-4242-4e17-a863-265642a1813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e54f561-757e-462c-8c11-491a6b1b52f6}" ma:internalName="TaxCatchAll" ma:showField="CatchAllData" ma:web="e519d449-4242-4e17-a863-265642a181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c34480-19d9-46fa-84dd-ad7a285e2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8f81bb1-e4a7-4e40-9828-0980da20e1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Props1.xml><?xml version="1.0" encoding="utf-8"?>
<ds:datastoreItem xmlns:ds="http://schemas.openxmlformats.org/officeDocument/2006/customXml" ds:itemID="{B77A0B5E-E235-4B47-B3B4-5EFE48864045}">
  <ds:schemaRefs/>
</ds:datastoreItem>
</file>

<file path=customXml/itemProps2.xml><?xml version="1.0" encoding="utf-8"?>
<ds:datastoreItem xmlns:ds="http://schemas.openxmlformats.org/officeDocument/2006/customXml" ds:itemID="{B7E1150D-25D6-4713-BE0A-5AF0D80A1CE7}">
  <ds:schemaRefs/>
</ds:datastoreItem>
</file>

<file path=customXml/itemProps3.xml><?xml version="1.0" encoding="utf-8"?>
<ds:datastoreItem xmlns:ds="http://schemas.openxmlformats.org/officeDocument/2006/customXml" ds:itemID="{1E46F028-E11C-45A8-A550-08AB9DCC64A2}">
  <ds:schemaRefs/>
</ds:datastoreItem>
</file>

<file path=customXml/itemProps4.xml><?xml version="1.0" encoding="utf-8"?>
<ds:datastoreItem xmlns:ds="http://schemas.openxmlformats.org/officeDocument/2006/customXml" ds:itemID="{8C5E949F-1100-4C66-BDA5-F08ACD8FFAE5}">
  <ds:schemaRefs/>
</ds:datastoreItem>
</file>

<file path=customXml/itemProps5.xml><?xml version="1.0" encoding="utf-8"?>
<ds:datastoreItem xmlns:ds="http://schemas.openxmlformats.org/officeDocument/2006/customXml" ds:itemID="{2623EC08-C5AE-479C-BD09-6EAF40AEB860}">
  <ds:schemaRefs/>
</ds:datastoreItem>
</file>

<file path=customXml/itemProps6.xml><?xml version="1.0" encoding="utf-8"?>
<ds:datastoreItem xmlns:ds="http://schemas.openxmlformats.org/officeDocument/2006/customXml" ds:itemID="{6FD1BB83-3C46-4B35-9901-DDC685A93A2B}">
  <ds:schemaRefs/>
</ds:datastoreItem>
</file>

<file path=customXml/itemProps7.xml><?xml version="1.0" encoding="utf-8"?>
<ds:datastoreItem xmlns:ds="http://schemas.openxmlformats.org/officeDocument/2006/customXml" ds:itemID="{81636EE8-BE3E-40CB-A080-28603A701A17}">
  <ds:schemaRefs/>
</ds:datastoreItem>
</file>

<file path=customXml/itemProps8.xml><?xml version="1.0" encoding="utf-8"?>
<ds:datastoreItem xmlns:ds="http://schemas.openxmlformats.org/officeDocument/2006/customXml" ds:itemID="{A0486809-1278-46F1-9252-12A386D84824}">
  <ds:schemaRefs/>
</ds:datastoreItem>
</file>

<file path=customXml/itemProps9.xml><?xml version="1.0" encoding="utf-8"?>
<ds:datastoreItem xmlns:ds="http://schemas.openxmlformats.org/officeDocument/2006/customXml" ds:itemID="{613CEEB2-3482-4727-9DF3-11DA4099CFEB}">
  <ds:schemaRefs/>
</ds:datastoreItem>
</file>

<file path=customXml/itemProps10.xml><?xml version="1.0" encoding="utf-8"?>
<ds:datastoreItem xmlns:ds="http://schemas.openxmlformats.org/officeDocument/2006/customXml" ds:itemID="{117DC442-C95A-4BC1-9778-1B7E56F48E50}">
  <ds:schemaRefs/>
</ds:datastoreItem>
</file>

<file path=customXml/itemProps11.xml><?xml version="1.0" encoding="utf-8"?>
<ds:datastoreItem xmlns:ds="http://schemas.openxmlformats.org/officeDocument/2006/customXml" ds:itemID="{91BFF97F-2614-4AC7-B55A-61C5408C8150}">
  <ds:schemaRefs/>
</ds:datastoreItem>
</file>

<file path=customXml/itemProps12.xml><?xml version="1.0" encoding="utf-8"?>
<ds:datastoreItem xmlns:ds="http://schemas.openxmlformats.org/officeDocument/2006/customXml" ds:itemID="{B1818B7B-6FCF-4C88-BE0C-71F4BBE0AF0D}">
  <ds:schemaRefs/>
</ds:datastoreItem>
</file>

<file path=customXml/itemProps13.xml><?xml version="1.0" encoding="utf-8"?>
<ds:datastoreItem xmlns:ds="http://schemas.openxmlformats.org/officeDocument/2006/customXml" ds:itemID="{EB64615B-7621-42CD-9B38-37098960EF33}">
  <ds:schemaRefs/>
</ds:datastoreItem>
</file>

<file path=customXml/itemProps14.xml><?xml version="1.0" encoding="utf-8"?>
<ds:datastoreItem xmlns:ds="http://schemas.openxmlformats.org/officeDocument/2006/customXml" ds:itemID="{B1199DB5-8DF0-4A1F-B836-58DEAD9BCD8A}">
  <ds:schemaRefs/>
</ds:datastoreItem>
</file>

<file path=customXml/itemProps15.xml><?xml version="1.0" encoding="utf-8"?>
<ds:datastoreItem xmlns:ds="http://schemas.openxmlformats.org/officeDocument/2006/customXml" ds:itemID="{27681029-32A5-49C9-9DCE-75D634136221}">
  <ds:schemaRefs/>
</ds:datastoreItem>
</file>

<file path=customXml/itemProps16.xml><?xml version="1.0" encoding="utf-8"?>
<ds:datastoreItem xmlns:ds="http://schemas.openxmlformats.org/officeDocument/2006/customXml" ds:itemID="{0C4997A3-359F-4502-90F8-E26742FF6A48}">
  <ds:schemaRefs/>
</ds:datastoreItem>
</file>

<file path=customXml/itemProps17.xml><?xml version="1.0" encoding="utf-8"?>
<ds:datastoreItem xmlns:ds="http://schemas.openxmlformats.org/officeDocument/2006/customXml" ds:itemID="{E24709AD-897F-42E9-907E-875252D7ACDB}">
  <ds:schemaRefs>
    <ds:schemaRef ds:uri="http://schemas.microsoft.com/sharepoint/v3/contenttype/forms"/>
  </ds:schemaRefs>
</ds:datastoreItem>
</file>

<file path=customXml/itemProps18.xml><?xml version="1.0" encoding="utf-8"?>
<ds:datastoreItem xmlns:ds="http://schemas.openxmlformats.org/officeDocument/2006/customXml" ds:itemID="{EF172D20-1417-45DF-AFA1-3A7F008B09E7}">
  <ds:schemaRefs/>
</ds:datastoreItem>
</file>

<file path=customXml/itemProps19.xml><?xml version="1.0" encoding="utf-8"?>
<ds:datastoreItem xmlns:ds="http://schemas.openxmlformats.org/officeDocument/2006/customXml" ds:itemID="{9219B62A-43C7-45CE-99DA-B2815C4FAEFE}">
  <ds:schemaRefs/>
</ds:datastoreItem>
</file>

<file path=customXml/itemProps20.xml><?xml version="1.0" encoding="utf-8"?>
<ds:datastoreItem xmlns:ds="http://schemas.openxmlformats.org/officeDocument/2006/customXml" ds:itemID="{BF04C8B7-4B0A-4D33-AE8B-46572FBC1FA1}">
  <ds:schemaRefs/>
</ds:datastoreItem>
</file>

<file path=customXml/itemProps21.xml><?xml version="1.0" encoding="utf-8"?>
<ds:datastoreItem xmlns:ds="http://schemas.openxmlformats.org/officeDocument/2006/customXml" ds:itemID="{83ECFFAF-1168-4B76-8E0D-885E67D06840}">
  <ds:schemaRefs/>
</ds:datastoreItem>
</file>

<file path=customXml/itemProps22.xml><?xml version="1.0" encoding="utf-8"?>
<ds:datastoreItem xmlns:ds="http://schemas.openxmlformats.org/officeDocument/2006/customXml" ds:itemID="{C9436018-D0B5-4ECA-AD95-6CD48EDD39A4}">
  <ds:schemaRefs/>
</ds:datastoreItem>
</file>

<file path=customXml/itemProps23.xml><?xml version="1.0" encoding="utf-8"?>
<ds:datastoreItem xmlns:ds="http://schemas.openxmlformats.org/officeDocument/2006/customXml" ds:itemID="{FCFF04EE-0EA8-4C5E-A2BB-219606999A14}">
  <ds:schemaRefs/>
</ds:datastoreItem>
</file>

<file path=customXml/itemProps24.xml><?xml version="1.0" encoding="utf-8"?>
<ds:datastoreItem xmlns:ds="http://schemas.openxmlformats.org/officeDocument/2006/customXml" ds:itemID="{C54BA2B2-5C20-4852-B7C0-3897950F94E8}">
  <ds:schemaRefs/>
</ds:datastoreItem>
</file>

<file path=customXml/itemProps25.xml><?xml version="1.0" encoding="utf-8"?>
<ds:datastoreItem xmlns:ds="http://schemas.openxmlformats.org/officeDocument/2006/customXml" ds:itemID="{D5F1E9C0-EC0C-4353-945C-2392C739D0B8}">
  <ds:schemaRefs/>
</ds:datastoreItem>
</file>

<file path=customXml/itemProps26.xml><?xml version="1.0" encoding="utf-8"?>
<ds:datastoreItem xmlns:ds="http://schemas.openxmlformats.org/officeDocument/2006/customXml" ds:itemID="{07D73AC9-4EF9-4B3D-ABEF-3810AFBA72E1}">
  <ds:schemaRefs>
    <ds:schemaRef ds:uri="http://gemini/pivotcustomization/b26a9a62-3dc9-4690-a431-6b25837ffbbf"/>
  </ds:schemaRefs>
</ds:datastoreItem>
</file>

<file path=customXml/itemProps27.xml><?xml version="1.0" encoding="utf-8"?>
<ds:datastoreItem xmlns:ds="http://schemas.openxmlformats.org/officeDocument/2006/customXml" ds:itemID="{29D46BF1-6CAA-4E3F-819C-A45183B3777C}">
  <ds:schemaRefs/>
</ds:datastoreItem>
</file>

<file path=customXml/itemProps28.xml><?xml version="1.0" encoding="utf-8"?>
<ds:datastoreItem xmlns:ds="http://schemas.openxmlformats.org/officeDocument/2006/customXml" ds:itemID="{427C095E-E7C3-4232-B519-79B6684B2812}">
  <ds:schemaRefs>
    <ds:schemaRef ds:uri="http://gemini/pivotcustomization/b44d0ae4-e1b7-4aea-9050-ca8c4b3ff141"/>
  </ds:schemaRefs>
</ds:datastoreItem>
</file>

<file path=customXml/itemProps29.xml><?xml version="1.0" encoding="utf-8"?>
<ds:datastoreItem xmlns:ds="http://schemas.openxmlformats.org/officeDocument/2006/customXml" ds:itemID="{F8EBE068-115B-4541-A42D-B6DAE046925B}">
  <ds:schemaRefs>
    <ds:schemaRef ds:uri="http://gemini/pivotcustomization/TableXML_tableAUX"/>
  </ds:schemaRefs>
</ds:datastoreItem>
</file>

<file path=customXml/itemProps30.xml><?xml version="1.0" encoding="utf-8"?>
<ds:datastoreItem xmlns:ds="http://schemas.openxmlformats.org/officeDocument/2006/customXml" ds:itemID="{E902804C-AE0D-4C63-B9E7-FADC0370B9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19d449-4242-4e17-a863-265642a1813c"/>
    <ds:schemaRef ds:uri="d2c34480-19d9-46fa-84dd-ad7a285e2e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1.xml><?xml version="1.0" encoding="utf-8"?>
<ds:datastoreItem xmlns:ds="http://schemas.openxmlformats.org/officeDocument/2006/customXml" ds:itemID="{E86B36A0-7CA9-4ADB-ABD3-E682DCC3AF17}">
  <ds:schemaRefs>
    <ds:schemaRef ds:uri="http://gemini/pivotcustomization/TableXML_Table33"/>
  </ds:schemaRefs>
</ds:datastoreItem>
</file>

<file path=customXml/itemProps32.xml><?xml version="1.0" encoding="utf-8"?>
<ds:datastoreItem xmlns:ds="http://schemas.openxmlformats.org/officeDocument/2006/customXml" ds:itemID="{63CF4912-6ABE-4061-8A8E-9848E1797E09}">
  <ds:schemaRefs/>
</ds:datastoreItem>
</file>

<file path=customXml/itemProps33.xml><?xml version="1.0" encoding="utf-8"?>
<ds:datastoreItem xmlns:ds="http://schemas.openxmlformats.org/officeDocument/2006/customXml" ds:itemID="{12595F46-7002-4868-910A-B8253F2A337E}">
  <ds:schemaRefs/>
</ds:datastoreItem>
</file>

<file path=customXml/itemProps34.xml><?xml version="1.0" encoding="utf-8"?>
<ds:datastoreItem xmlns:ds="http://schemas.openxmlformats.org/officeDocument/2006/customXml" ds:itemID="{9DCA84E4-072D-4E34-8791-9215B1CE4123}">
  <ds:schemaRefs/>
</ds:datastoreItem>
</file>

<file path=customXml/itemProps35.xml><?xml version="1.0" encoding="utf-8"?>
<ds:datastoreItem xmlns:ds="http://schemas.openxmlformats.org/officeDocument/2006/customXml" ds:itemID="{E37B2039-521E-4322-814A-DAE8C9195219}">
  <ds:schemaRefs/>
</ds:datastoreItem>
</file>

<file path=customXml/itemProps36.xml><?xml version="1.0" encoding="utf-8"?>
<ds:datastoreItem xmlns:ds="http://schemas.openxmlformats.org/officeDocument/2006/customXml" ds:itemID="{4845DA36-B195-4054-B59F-EE9FE7FB6A42}">
  <ds:schemaRefs/>
</ds:datastoreItem>
</file>

<file path=customXml/itemProps37.xml><?xml version="1.0" encoding="utf-8"?>
<ds:datastoreItem xmlns:ds="http://schemas.openxmlformats.org/officeDocument/2006/customXml" ds:itemID="{51B00653-CD4B-4EF6-836F-DA43FCFF0CB7}">
  <ds:schemaRefs/>
</ds:datastoreItem>
</file>

<file path=customXml/itemProps38.xml><?xml version="1.0" encoding="utf-8"?>
<ds:datastoreItem xmlns:ds="http://schemas.openxmlformats.org/officeDocument/2006/customXml" ds:itemID="{2B4B4EC6-8F72-4541-B842-BCB679C291F0}">
  <ds:schemaRefs/>
</ds:datastoreItem>
</file>

<file path=customXml/itemProps39.xml><?xml version="1.0" encoding="utf-8"?>
<ds:datastoreItem xmlns:ds="http://schemas.openxmlformats.org/officeDocument/2006/customXml" ds:itemID="{D0297518-F41B-4ADA-B98C-2BEC14303AE1}">
  <ds:schemaRefs/>
</ds:datastoreItem>
</file>

<file path=customXml/itemProps40.xml><?xml version="1.0" encoding="utf-8"?>
<ds:datastoreItem xmlns:ds="http://schemas.openxmlformats.org/officeDocument/2006/customXml" ds:itemID="{C6D0A9E3-D069-42A0-81F6-4B2ABF8A680A}">
  <ds:schemaRefs/>
</ds:datastoreItem>
</file>

<file path=customXml/itemProps41.xml><?xml version="1.0" encoding="utf-8"?>
<ds:datastoreItem xmlns:ds="http://schemas.openxmlformats.org/officeDocument/2006/customXml" ds:itemID="{CCFAB238-7D9C-4C6C-80F0-3C5A2EA6C5C3}">
  <ds:schemaRefs/>
</ds:datastoreItem>
</file>

<file path=customXml/itemProps42.xml><?xml version="1.0" encoding="utf-8"?>
<ds:datastoreItem xmlns:ds="http://schemas.openxmlformats.org/officeDocument/2006/customXml" ds:itemID="{1CED19F6-B99E-4234-B488-ABE8151F4996}">
  <ds:schemaRefs/>
</ds:datastoreItem>
</file>

<file path=customXml/itemProps43.xml><?xml version="1.0" encoding="utf-8"?>
<ds:datastoreItem xmlns:ds="http://schemas.openxmlformats.org/officeDocument/2006/customXml" ds:itemID="{1C6BC5E8-99D0-4D16-8C18-E6CEF45ABF26}">
  <ds:schemaRefs/>
</ds:datastoreItem>
</file>

<file path=customXml/itemProps44.xml><?xml version="1.0" encoding="utf-8"?>
<ds:datastoreItem xmlns:ds="http://schemas.openxmlformats.org/officeDocument/2006/customXml" ds:itemID="{9408876E-9163-4923-81BA-4102DEEA82BB}">
  <ds:schemaRefs/>
</ds:datastoreItem>
</file>

<file path=customXml/itemProps45.xml><?xml version="1.0" encoding="utf-8"?>
<ds:datastoreItem xmlns:ds="http://schemas.openxmlformats.org/officeDocument/2006/customXml" ds:itemID="{3350E52C-CF19-408C-9D74-B358FB805D17}">
  <ds:schemaRefs/>
</ds:datastoreItem>
</file>

<file path=customXml/itemProps46.xml><?xml version="1.0" encoding="utf-8"?>
<ds:datastoreItem xmlns:ds="http://schemas.openxmlformats.org/officeDocument/2006/customXml" ds:itemID="{A6642756-1E88-44D7-9F14-4359F619EDC6}">
  <ds:schemaRefs/>
</ds:datastoreItem>
</file>

<file path=customXml/itemProps47.xml><?xml version="1.0" encoding="utf-8"?>
<ds:datastoreItem xmlns:ds="http://schemas.openxmlformats.org/officeDocument/2006/customXml" ds:itemID="{BBD9F323-F415-4507-B12A-2776F5BD36C7}">
  <ds:schemaRefs/>
</ds:datastoreItem>
</file>

<file path=customXml/itemProps48.xml><?xml version="1.0" encoding="utf-8"?>
<ds:datastoreItem xmlns:ds="http://schemas.openxmlformats.org/officeDocument/2006/customXml" ds:itemID="{72597FFC-3255-4F5C-BB08-343DAF824351}">
  <ds:schemaRefs>
    <ds:schemaRef ds:uri="http://gemini/pivotcustomization/TableXML_3-0 FactVolCost_c9889760-307d-417c-9ef4-20787ee57d04"/>
  </ds:schemaRefs>
</ds:datastoreItem>
</file>

<file path=customXml/itemProps49.xml><?xml version="1.0" encoding="utf-8"?>
<ds:datastoreItem xmlns:ds="http://schemas.openxmlformats.org/officeDocument/2006/customXml" ds:itemID="{BF45BBF3-7780-40CE-AD19-F832EBA0E13F}">
  <ds:schemaRefs/>
</ds:datastoreItem>
</file>

<file path=customXml/itemProps50.xml><?xml version="1.0" encoding="utf-8"?>
<ds:datastoreItem xmlns:ds="http://schemas.openxmlformats.org/officeDocument/2006/customXml" ds:itemID="{5C021E44-BD75-4564-BD8D-D37127924EFB}">
  <ds:schemaRefs/>
</ds:datastoreItem>
</file>

<file path=customXml/itemProps51.xml><?xml version="1.0" encoding="utf-8"?>
<ds:datastoreItem xmlns:ds="http://schemas.openxmlformats.org/officeDocument/2006/customXml" ds:itemID="{F5BDE1E3-2A50-4654-BD13-E4E391D5988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7d10abc-6a8a-4c4c-8b01-af7895657b31}" enabled="0" method="" siteId="{d7d10abc-6a8a-4c4c-8b01-af7895657b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Folder Location and Alerts</vt:lpstr>
      <vt:lpstr>EcuadorMENASplit</vt:lpstr>
      <vt:lpstr>New Mapping</vt:lpstr>
      <vt:lpstr>Whats in Accounts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Izquierdo</dc:creator>
  <cp:keywords/>
  <dc:description/>
  <cp:lastModifiedBy>Christofer Murillo Gomez</cp:lastModifiedBy>
  <cp:revision/>
  <dcterms:created xsi:type="dcterms:W3CDTF">2023-03-15T19:18:16Z</dcterms:created>
  <dcterms:modified xsi:type="dcterms:W3CDTF">2026-02-24T21:30:55Z</dcterms:modified>
  <cp:category/>
  <cp:contentStatus/>
</cp:coreProperties>
</file>